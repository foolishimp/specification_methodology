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996969cba348e8" /></Relationships>
</file>

<file path=xl/workbook.xml><?xml version="1.0" encoding="utf-8"?>
<x:workbook xmlns:x="http://schemas.openxmlformats.org/spreadsheetml/2006/main">
  <x:sheets>
    <x:sheet xmlns:r="http://schemas.openxmlformats.org/officeDocument/2006/relationships" name="Guide" sheetId="1" r:id="R6f5a269f8e2d43d2"/>
    <x:sheet xmlns:r="http://schemas.openxmlformats.org/officeDocument/2006/relationships" name="Criteria" sheetId="2" r:id="R46a1e515b7ee4acd"/>
    <x:sheet xmlns:r="http://schemas.openxmlformats.org/officeDocument/2006/relationships" name="Purpose" sheetId="3" r:id="Rb0349593a2c04a11"/>
    <x:sheet xmlns:r="http://schemas.openxmlformats.org/officeDocument/2006/relationships" name="Bounded work" sheetId="4" r:id="Rec225b09891e409e"/>
    <x:sheet xmlns:r="http://schemas.openxmlformats.org/officeDocument/2006/relationships" name="Assurance" sheetId="5" r:id="R32aee85a65324773"/>
    <x:sheet xmlns:r="http://schemas.openxmlformats.org/officeDocument/2006/relationships" name="Use and evidence" sheetId="6" r:id="R5bdd560497df4b12"/>
    <x:sheet xmlns:r="http://schemas.openxmlformats.org/officeDocument/2006/relationships" name="Operational controls" sheetId="7" r:id="Rab7efcf0889c41c9"/>
    <x:sheet xmlns:r="http://schemas.openxmlformats.org/officeDocument/2006/relationships" name="Evidence" sheetId="8" r:id="R83b5e1de03284bfb"/>
    <x:sheet xmlns:r="http://schemas.openxmlformats.org/officeDocument/2006/relationships" name="Sources" sheetId="9" r:id="R50ee8ffb614e46f8"/>
    <x:sheet xmlns:r="http://schemas.openxmlformats.org/officeDocument/2006/relationships" name="Candidates" sheetId="10" r:id="Rd7facf7d2ac84d1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color rgb="FF263746"/>
      <x:name val="Arial"/>
    </x:font>
    <x:font>
      <x:b/>
      <x:sz val="16"/>
      <x:color rgb="FF23384D"/>
      <x:name val="Arial"/>
    </x:font>
    <x:font>
      <x:sz val="10"/>
      <x:color rgb="FF647586"/>
      <x:name val="Arial"/>
    </x:font>
    <x:font>
      <x:b/>
      <x:sz val="11"/>
      <x:color rgb="FFFFFFFF"/>
      <x:name val="Arial"/>
    </x:font>
    <x:font>
      <x:sz val="12"/>
      <x:color rgb="FF263746"/>
      <x:name val="Arial"/>
    </x:font>
  </x:fonts>
  <x:fills count="3">
    <x:fill>
      <x:patternFill patternType="none"/>
    </x:fill>
    <x:fill>
      <x:patternFill patternType="gray125"/>
    </x:fill>
    <x:fill>
      <x:patternFill patternType="solid">
        <x:fgColor rgb="FF23384D"/>
      </x:patternFill>
    </x:fill>
  </x:fills>
  <x:borders count="1">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center" wrapText="1"/>
    </x:xf>
    <x:xf numFmtId="0" fontId="5" fillId="0"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cellXfs>
  <x:cellStyles count="1">
    <x:cellStyle name="Normal" xfId="0"/>
  </x:cellStyles>
  <x:dxfs count="110">
    <x:dxf>
      <x:fill>
        <x:patternFill patternType="solid">
          <x:bgColor rgb="FFE6EFE8"/>
        </x:patternFill>
      </x:fill>
    </x:dxf>
    <x:dxf>
      <x:fill>
        <x:patternFill patternType="solid">
          <x:bgColor rgb="FFE6EFE8"/>
        </x:patternFill>
      </x:fill>
    </x:dxf>
    <x:dxf>
      <x:fill>
        <x:patternFill patternType="solid">
          <x:bgColor rgb="FFE6EFE8"/>
        </x:patternFill>
      </x:fill>
    </x:dxf>
    <x:dxf>
      <x:fill>
        <x:patternFill patternType="solid">
          <x:bgColor rgb="FFE6EFE8"/>
        </x:patternFill>
      </x:fill>
    </x:dxf>
    <x:dxf>
      <x:fill>
        <x:patternFill patternType="solid">
          <x:bgColor rgb="FFE6EFE8"/>
        </x:patternFill>
      </x:fill>
    </x:dxf>
    <x:dxf>
      <x:fill>
        <x:patternFill patternType="solid">
          <x:bgColor rgb="FFECF2F7"/>
        </x:patternFill>
      </x:fill>
    </x:dxf>
    <x:dxf>
      <x:fill>
        <x:patternFill patternType="solid">
          <x:bgColor rgb="FFECF2F7"/>
        </x:patternFill>
      </x:fill>
    </x:dxf>
    <x:dxf>
      <x:fill>
        <x:patternFill patternType="solid">
          <x:bgColor rgb="FFECF2F7"/>
        </x:patternFill>
      </x:fill>
    </x:dxf>
    <x:dxf>
      <x:fill>
        <x:patternFill patternType="solid">
          <x:bgColor rgb="FFECF2F7"/>
        </x:patternFill>
      </x:fill>
    </x:dxf>
    <x:dxf>
      <x:fill>
        <x:patternFill patternType="solid">
          <x:bgColor rgb="FFECF2F7"/>
        </x:patternFill>
      </x:fill>
    </x:dxf>
    <x:dxf>
      <x:fill>
        <x:patternFill patternType="solid">
          <x:bgColor rgb="FFF9F0DF"/>
        </x:patternFill>
      </x:fill>
    </x:dxf>
    <x:dxf>
      <x:fill>
        <x:patternFill patternType="solid">
          <x:bgColor rgb="FFF9F0DF"/>
        </x:patternFill>
      </x:fill>
    </x:dxf>
    <x:dxf>
      <x:fill>
        <x:patternFill patternType="solid">
          <x:bgColor rgb="FFF9F0DF"/>
        </x:patternFill>
      </x:fill>
    </x:dxf>
    <x:dxf>
      <x:fill>
        <x:patternFill patternType="solid">
          <x:bgColor rgb="FFF9F0DF"/>
        </x:patternFill>
      </x:fill>
    </x:dxf>
    <x:dxf>
      <x:fill>
        <x:patternFill patternType="solid">
          <x:bgColor rgb="FFF9F0DF"/>
        </x:patternFill>
      </x:fill>
    </x:dxf>
    <x:dxf>
      <x:fill>
        <x:patternFill patternType="solid">
          <x:bgColor rgb="FFF8E3E4"/>
        </x:patternFill>
      </x:fill>
    </x:dxf>
    <x:dxf>
      <x:fill>
        <x:patternFill patternType="solid">
          <x:bgColor rgb="FFF8E3E4"/>
        </x:patternFill>
      </x:fill>
    </x:dxf>
    <x:dxf>
      <x:fill>
        <x:patternFill patternType="solid">
          <x:bgColor rgb="FFF8E3E4"/>
        </x:patternFill>
      </x:fill>
    </x:dxf>
    <x:dxf>
      <x:fill>
        <x:patternFill patternType="solid">
          <x:bgColor rgb="FFF8E3E4"/>
        </x:patternFill>
      </x:fill>
    </x:dxf>
    <x:dxf>
      <x:fill>
        <x:patternFill patternType="solid">
          <x:bgColor rgb="FFF8E3E4"/>
        </x:patternFill>
      </x:fill>
    </x:dxf>
    <x:dxf>
      <x:font>
        <x:color rgb="FF6E7A83"/>
      </x:font>
      <x:fill>
        <x:patternFill patternType="solid">
          <x:bgColor rgb="FFEFF1F3"/>
        </x:patternFill>
      </x:fill>
    </x:dxf>
    <x:dxf>
      <x:font>
        <x:color rgb="FF84909B"/>
      </x:font>
      <x:fill>
        <x:patternFill patternType="solid">
          <x:bgColor rgb="FFFAFAFA"/>
        </x:patternFill>
      </x:fill>
    </x:dxf>
    <x:dxf>
      <x:fill>
        <x:patternFill patternType="solid">
          <x:bgColor rgb="FFE6EFE8"/>
        </x:patternFill>
      </x:fill>
    </x:dxf>
    <x:dxf>
      <x:fill>
        <x:patternFill patternType="solid">
          <x:bgColor rgb="FFE6EFE8"/>
        </x:patternFill>
      </x:fill>
    </x:dxf>
    <x:dxf>
      <x:fill>
        <x:patternFill patternType="solid">
          <x:bgColor rgb="FFE6EFE8"/>
        </x:patternFill>
      </x:fill>
    </x:dxf>
    <x:dxf>
      <x:fill>
        <x:patternFill patternType="solid">
          <x:bgColor rgb="FFE6EFE8"/>
        </x:patternFill>
      </x:fill>
    </x:dxf>
    <x:dxf>
      <x:fill>
        <x:patternFill patternType="solid">
          <x:bgColor rgb="FFE6EFE8"/>
        </x:patternFill>
      </x:fill>
    </x:dxf>
    <x:dxf>
      <x:fill>
        <x:patternFill patternType="solid">
          <x:bgColor rgb="FFECF2F7"/>
        </x:patternFill>
      </x:fill>
    </x:dxf>
    <x:dxf>
      <x:fill>
        <x:patternFill patternType="solid">
          <x:bgColor rgb="FFECF2F7"/>
        </x:patternFill>
      </x:fill>
    </x:dxf>
    <x:dxf>
      <x:fill>
        <x:patternFill patternType="solid">
          <x:bgColor rgb="FFECF2F7"/>
        </x:patternFill>
      </x:fill>
    </x:dxf>
    <x:dxf>
      <x:fill>
        <x:patternFill patternType="solid">
          <x:bgColor rgb="FFECF2F7"/>
        </x:patternFill>
      </x:fill>
    </x:dxf>
    <x:dxf>
      <x:fill>
        <x:patternFill patternType="solid">
          <x:bgColor rgb="FFECF2F7"/>
        </x:patternFill>
      </x:fill>
    </x:dxf>
    <x:dxf>
      <x:fill>
        <x:patternFill patternType="solid">
          <x:bgColor rgb="FFF9F0DF"/>
        </x:patternFill>
      </x:fill>
    </x:dxf>
    <x:dxf>
      <x:fill>
        <x:patternFill patternType="solid">
          <x:bgColor rgb="FFF9F0DF"/>
        </x:patternFill>
      </x:fill>
    </x:dxf>
    <x:dxf>
      <x:fill>
        <x:patternFill patternType="solid">
          <x:bgColor rgb="FFF9F0DF"/>
        </x:patternFill>
      </x:fill>
    </x:dxf>
    <x:dxf>
      <x:fill>
        <x:patternFill patternType="solid">
          <x:bgColor rgb="FFF9F0DF"/>
        </x:patternFill>
      </x:fill>
    </x:dxf>
    <x:dxf>
      <x:fill>
        <x:patternFill patternType="solid">
          <x:bgColor rgb="FFF9F0DF"/>
        </x:patternFill>
      </x:fill>
    </x:dxf>
    <x:dxf>
      <x:fill>
        <x:patternFill patternType="solid">
          <x:bgColor rgb="FFF8E3E4"/>
        </x:patternFill>
      </x:fill>
    </x:dxf>
    <x:dxf>
      <x:fill>
        <x:patternFill patternType="solid">
          <x:bgColor rgb="FFF8E3E4"/>
        </x:patternFill>
      </x:fill>
    </x:dxf>
    <x:dxf>
      <x:fill>
        <x:patternFill patternType="solid">
          <x:bgColor rgb="FFF8E3E4"/>
        </x:patternFill>
      </x:fill>
    </x:dxf>
    <x:dxf>
      <x:fill>
        <x:patternFill patternType="solid">
          <x:bgColor rgb="FFF8E3E4"/>
        </x:patternFill>
      </x:fill>
    </x:dxf>
    <x:dxf>
      <x:fill>
        <x:patternFill patternType="solid">
          <x:bgColor rgb="FFF8E3E4"/>
        </x:patternFill>
      </x:fill>
    </x:dxf>
    <x:dxf>
      <x:font>
        <x:color rgb="FF6E7A83"/>
      </x:font>
      <x:fill>
        <x:patternFill patternType="solid">
          <x:bgColor rgb="FFEFF1F3"/>
        </x:patternFill>
      </x:fill>
    </x:dxf>
    <x:dxf>
      <x:font>
        <x:color rgb="FF84909B"/>
      </x:font>
      <x:fill>
        <x:patternFill patternType="solid">
          <x:bgColor rgb="FFFAFAFA"/>
        </x:patternFill>
      </x:fill>
    </x:dxf>
    <x:dxf>
      <x:fill>
        <x:patternFill patternType="solid">
          <x:bgColor rgb="FFE6EFE8"/>
        </x:patternFill>
      </x:fill>
    </x:dxf>
    <x:dxf>
      <x:fill>
        <x:patternFill patternType="solid">
          <x:bgColor rgb="FFE6EFE8"/>
        </x:patternFill>
      </x:fill>
    </x:dxf>
    <x:dxf>
      <x:fill>
        <x:patternFill patternType="solid">
          <x:bgColor rgb="FFE6EFE8"/>
        </x:patternFill>
      </x:fill>
    </x:dxf>
    <x:dxf>
      <x:fill>
        <x:patternFill patternType="solid">
          <x:bgColor rgb="FFE6EFE8"/>
        </x:patternFill>
      </x:fill>
    </x:dxf>
    <x:dxf>
      <x:fill>
        <x:patternFill patternType="solid">
          <x:bgColor rgb="FFE6EFE8"/>
        </x:patternFill>
      </x:fill>
    </x:dxf>
    <x:dxf>
      <x:fill>
        <x:patternFill patternType="solid">
          <x:bgColor rgb="FFECF2F7"/>
        </x:patternFill>
      </x:fill>
    </x:dxf>
    <x:dxf>
      <x:fill>
        <x:patternFill patternType="solid">
          <x:bgColor rgb="FFECF2F7"/>
        </x:patternFill>
      </x:fill>
    </x:dxf>
    <x:dxf>
      <x:fill>
        <x:patternFill patternType="solid">
          <x:bgColor rgb="FFECF2F7"/>
        </x:patternFill>
      </x:fill>
    </x:dxf>
    <x:dxf>
      <x:fill>
        <x:patternFill patternType="solid">
          <x:bgColor rgb="FFECF2F7"/>
        </x:patternFill>
      </x:fill>
    </x:dxf>
    <x:dxf>
      <x:fill>
        <x:patternFill patternType="solid">
          <x:bgColor rgb="FFECF2F7"/>
        </x:patternFill>
      </x:fill>
    </x:dxf>
    <x:dxf>
      <x:fill>
        <x:patternFill patternType="solid">
          <x:bgColor rgb="FFF9F0DF"/>
        </x:patternFill>
      </x:fill>
    </x:dxf>
    <x:dxf>
      <x:fill>
        <x:patternFill patternType="solid">
          <x:bgColor rgb="FFF9F0DF"/>
        </x:patternFill>
      </x:fill>
    </x:dxf>
    <x:dxf>
      <x:fill>
        <x:patternFill patternType="solid">
          <x:bgColor rgb="FFF9F0DF"/>
        </x:patternFill>
      </x:fill>
    </x:dxf>
    <x:dxf>
      <x:fill>
        <x:patternFill patternType="solid">
          <x:bgColor rgb="FFF9F0DF"/>
        </x:patternFill>
      </x:fill>
    </x:dxf>
    <x:dxf>
      <x:fill>
        <x:patternFill patternType="solid">
          <x:bgColor rgb="FFF9F0DF"/>
        </x:patternFill>
      </x:fill>
    </x:dxf>
    <x:dxf>
      <x:fill>
        <x:patternFill patternType="solid">
          <x:bgColor rgb="FFF8E3E4"/>
        </x:patternFill>
      </x:fill>
    </x:dxf>
    <x:dxf>
      <x:fill>
        <x:patternFill patternType="solid">
          <x:bgColor rgb="FFF8E3E4"/>
        </x:patternFill>
      </x:fill>
    </x:dxf>
    <x:dxf>
      <x:fill>
        <x:patternFill patternType="solid">
          <x:bgColor rgb="FFF8E3E4"/>
        </x:patternFill>
      </x:fill>
    </x:dxf>
    <x:dxf>
      <x:fill>
        <x:patternFill patternType="solid">
          <x:bgColor rgb="FFF8E3E4"/>
        </x:patternFill>
      </x:fill>
    </x:dxf>
    <x:dxf>
      <x:fill>
        <x:patternFill patternType="solid">
          <x:bgColor rgb="FFF8E3E4"/>
        </x:patternFill>
      </x:fill>
    </x:dxf>
    <x:dxf>
      <x:font>
        <x:color rgb="FF6E7A83"/>
      </x:font>
      <x:fill>
        <x:patternFill patternType="solid">
          <x:bgColor rgb="FFEFF1F3"/>
        </x:patternFill>
      </x:fill>
    </x:dxf>
    <x:dxf>
      <x:font>
        <x:color rgb="FF84909B"/>
      </x:font>
      <x:fill>
        <x:patternFill patternType="solid">
          <x:bgColor rgb="FFFAFAFA"/>
        </x:patternFill>
      </x:fill>
    </x:dxf>
    <x:dxf>
      <x:fill>
        <x:patternFill patternType="solid">
          <x:bgColor rgb="FFE6EFE8"/>
        </x:patternFill>
      </x:fill>
    </x:dxf>
    <x:dxf>
      <x:fill>
        <x:patternFill patternType="solid">
          <x:bgColor rgb="FFE6EFE8"/>
        </x:patternFill>
      </x:fill>
    </x:dxf>
    <x:dxf>
      <x:fill>
        <x:patternFill patternType="solid">
          <x:bgColor rgb="FFE6EFE8"/>
        </x:patternFill>
      </x:fill>
    </x:dxf>
    <x:dxf>
      <x:fill>
        <x:patternFill patternType="solid">
          <x:bgColor rgb="FFE6EFE8"/>
        </x:patternFill>
      </x:fill>
    </x:dxf>
    <x:dxf>
      <x:fill>
        <x:patternFill patternType="solid">
          <x:bgColor rgb="FFE6EFE8"/>
        </x:patternFill>
      </x:fill>
    </x:dxf>
    <x:dxf>
      <x:fill>
        <x:patternFill patternType="solid">
          <x:bgColor rgb="FFECF2F7"/>
        </x:patternFill>
      </x:fill>
    </x:dxf>
    <x:dxf>
      <x:fill>
        <x:patternFill patternType="solid">
          <x:bgColor rgb="FFECF2F7"/>
        </x:patternFill>
      </x:fill>
    </x:dxf>
    <x:dxf>
      <x:fill>
        <x:patternFill patternType="solid">
          <x:bgColor rgb="FFECF2F7"/>
        </x:patternFill>
      </x:fill>
    </x:dxf>
    <x:dxf>
      <x:fill>
        <x:patternFill patternType="solid">
          <x:bgColor rgb="FFECF2F7"/>
        </x:patternFill>
      </x:fill>
    </x:dxf>
    <x:dxf>
      <x:fill>
        <x:patternFill patternType="solid">
          <x:bgColor rgb="FFECF2F7"/>
        </x:patternFill>
      </x:fill>
    </x:dxf>
    <x:dxf>
      <x:fill>
        <x:patternFill patternType="solid">
          <x:bgColor rgb="FFF9F0DF"/>
        </x:patternFill>
      </x:fill>
    </x:dxf>
    <x:dxf>
      <x:fill>
        <x:patternFill patternType="solid">
          <x:bgColor rgb="FFF9F0DF"/>
        </x:patternFill>
      </x:fill>
    </x:dxf>
    <x:dxf>
      <x:fill>
        <x:patternFill patternType="solid">
          <x:bgColor rgb="FFF9F0DF"/>
        </x:patternFill>
      </x:fill>
    </x:dxf>
    <x:dxf>
      <x:fill>
        <x:patternFill patternType="solid">
          <x:bgColor rgb="FFF9F0DF"/>
        </x:patternFill>
      </x:fill>
    </x:dxf>
    <x:dxf>
      <x:fill>
        <x:patternFill patternType="solid">
          <x:bgColor rgb="FFF9F0DF"/>
        </x:patternFill>
      </x:fill>
    </x:dxf>
    <x:dxf>
      <x:fill>
        <x:patternFill patternType="solid">
          <x:bgColor rgb="FFF8E3E4"/>
        </x:patternFill>
      </x:fill>
    </x:dxf>
    <x:dxf>
      <x:fill>
        <x:patternFill patternType="solid">
          <x:bgColor rgb="FFF8E3E4"/>
        </x:patternFill>
      </x:fill>
    </x:dxf>
    <x:dxf>
      <x:fill>
        <x:patternFill patternType="solid">
          <x:bgColor rgb="FFF8E3E4"/>
        </x:patternFill>
      </x:fill>
    </x:dxf>
    <x:dxf>
      <x:fill>
        <x:patternFill patternType="solid">
          <x:bgColor rgb="FFF8E3E4"/>
        </x:patternFill>
      </x:fill>
    </x:dxf>
    <x:dxf>
      <x:fill>
        <x:patternFill patternType="solid">
          <x:bgColor rgb="FFF8E3E4"/>
        </x:patternFill>
      </x:fill>
    </x:dxf>
    <x:dxf>
      <x:font>
        <x:color rgb="FF6E7A83"/>
      </x:font>
      <x:fill>
        <x:patternFill patternType="solid">
          <x:bgColor rgb="FFEFF1F3"/>
        </x:patternFill>
      </x:fill>
    </x:dxf>
    <x:dxf>
      <x:font>
        <x:color rgb="FF84909B"/>
      </x:font>
      <x:fill>
        <x:patternFill patternType="solid">
          <x:bgColor rgb="FFFAFAFA"/>
        </x:patternFill>
      </x:fill>
    </x:dxf>
    <x:dxf>
      <x:fill>
        <x:patternFill patternType="solid">
          <x:bgColor rgb="FFE6EFE8"/>
        </x:patternFill>
      </x:fill>
    </x:dxf>
    <x:dxf>
      <x:fill>
        <x:patternFill patternType="solid">
          <x:bgColor rgb="FFE6EFE8"/>
        </x:patternFill>
      </x:fill>
    </x:dxf>
    <x:dxf>
      <x:fill>
        <x:patternFill patternType="solid">
          <x:bgColor rgb="FFE6EFE8"/>
        </x:patternFill>
      </x:fill>
    </x:dxf>
    <x:dxf>
      <x:fill>
        <x:patternFill patternType="solid">
          <x:bgColor rgb="FFE6EFE8"/>
        </x:patternFill>
      </x:fill>
    </x:dxf>
    <x:dxf>
      <x:fill>
        <x:patternFill patternType="solid">
          <x:bgColor rgb="FFE6EFE8"/>
        </x:patternFill>
      </x:fill>
    </x:dxf>
    <x:dxf>
      <x:fill>
        <x:patternFill patternType="solid">
          <x:bgColor rgb="FFECF2F7"/>
        </x:patternFill>
      </x:fill>
    </x:dxf>
    <x:dxf>
      <x:fill>
        <x:patternFill patternType="solid">
          <x:bgColor rgb="FFECF2F7"/>
        </x:patternFill>
      </x:fill>
    </x:dxf>
    <x:dxf>
      <x:fill>
        <x:patternFill patternType="solid">
          <x:bgColor rgb="FFECF2F7"/>
        </x:patternFill>
      </x:fill>
    </x:dxf>
    <x:dxf>
      <x:fill>
        <x:patternFill patternType="solid">
          <x:bgColor rgb="FFECF2F7"/>
        </x:patternFill>
      </x:fill>
    </x:dxf>
    <x:dxf>
      <x:fill>
        <x:patternFill patternType="solid">
          <x:bgColor rgb="FFECF2F7"/>
        </x:patternFill>
      </x:fill>
    </x:dxf>
    <x:dxf>
      <x:fill>
        <x:patternFill patternType="solid">
          <x:bgColor rgb="FFF9F0DF"/>
        </x:patternFill>
      </x:fill>
    </x:dxf>
    <x:dxf>
      <x:fill>
        <x:patternFill patternType="solid">
          <x:bgColor rgb="FFF9F0DF"/>
        </x:patternFill>
      </x:fill>
    </x:dxf>
    <x:dxf>
      <x:fill>
        <x:patternFill patternType="solid">
          <x:bgColor rgb="FFF9F0DF"/>
        </x:patternFill>
      </x:fill>
    </x:dxf>
    <x:dxf>
      <x:fill>
        <x:patternFill patternType="solid">
          <x:bgColor rgb="FFF9F0DF"/>
        </x:patternFill>
      </x:fill>
    </x:dxf>
    <x:dxf>
      <x:fill>
        <x:patternFill patternType="solid">
          <x:bgColor rgb="FFF9F0DF"/>
        </x:patternFill>
      </x:fill>
    </x:dxf>
    <x:dxf>
      <x:fill>
        <x:patternFill patternType="solid">
          <x:bgColor rgb="FFF8E3E4"/>
        </x:patternFill>
      </x:fill>
    </x:dxf>
    <x:dxf>
      <x:fill>
        <x:patternFill patternType="solid">
          <x:bgColor rgb="FFF8E3E4"/>
        </x:patternFill>
      </x:fill>
    </x:dxf>
    <x:dxf>
      <x:fill>
        <x:patternFill patternType="solid">
          <x:bgColor rgb="FFF8E3E4"/>
        </x:patternFill>
      </x:fill>
    </x:dxf>
    <x:dxf>
      <x:fill>
        <x:patternFill patternType="solid">
          <x:bgColor rgb="FFF8E3E4"/>
        </x:patternFill>
      </x:fill>
    </x:dxf>
    <x:dxf>
      <x:fill>
        <x:patternFill patternType="solid">
          <x:bgColor rgb="FFF8E3E4"/>
        </x:patternFill>
      </x:fill>
    </x:dxf>
    <x:dxf>
      <x:font>
        <x:color rgb="FF6E7A83"/>
      </x:font>
      <x:fill>
        <x:patternFill patternType="solid">
          <x:bgColor rgb="FFEFF1F3"/>
        </x:patternFill>
      </x:fill>
    </x:dxf>
    <x:dxf>
      <x:font>
        <x:color rgb="FF84909B"/>
      </x:font>
      <x:fill>
        <x:patternFill patternType="solid">
          <x:bgColor rgb="FFFAFAF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b80b913ac5a4274" /><Relationship Type="http://schemas.openxmlformats.org/officeDocument/2006/relationships/theme" Target="/xl/theme/theme1.xml" Id="R2334f100c9d24d41" /><Relationship Type="http://schemas.openxmlformats.org/officeDocument/2006/relationships/sharedStrings" Target="/xl/sharedStrings.xml" Id="Rca3cad2b6a7548cb" /><Relationship Type="http://schemas.openxmlformats.org/officeDocument/2006/relationships/worksheet" Target="/xl/worksheets/sheet1.xml" Id="R6f5a269f8e2d43d2" /><Relationship Type="http://schemas.openxmlformats.org/officeDocument/2006/relationships/worksheet" Target="/xl/worksheets/sheet2.xml" Id="R46a1e515b7ee4acd" /><Relationship Type="http://schemas.openxmlformats.org/officeDocument/2006/relationships/worksheet" Target="/xl/worksheets/sheet3.xml" Id="Rb0349593a2c04a11" /><Relationship Type="http://schemas.openxmlformats.org/officeDocument/2006/relationships/worksheet" Target="/xl/worksheets/sheet4.xml" Id="Rec225b09891e409e" /><Relationship Type="http://schemas.openxmlformats.org/officeDocument/2006/relationships/worksheet" Target="/xl/worksheets/sheet5.xml" Id="R32aee85a65324773" /><Relationship Type="http://schemas.openxmlformats.org/officeDocument/2006/relationships/worksheet" Target="/xl/worksheets/sheet6.xml" Id="R5bdd560497df4b12" /><Relationship Type="http://schemas.openxmlformats.org/officeDocument/2006/relationships/worksheet" Target="/xl/worksheets/sheet7.xml" Id="Rab7efcf0889c41c9" /><Relationship Type="http://schemas.openxmlformats.org/officeDocument/2006/relationships/worksheet" Target="/xl/worksheets/sheet8.xml" Id="R83b5e1de03284bfb" /><Relationship Type="http://schemas.openxmlformats.org/officeDocument/2006/relationships/worksheet" Target="/xl/worksheets/sheet9.xml" Id="R50ee8ffb614e46f8" /><Relationship Type="http://schemas.openxmlformats.org/officeDocument/2006/relationships/worksheet" Target="/xl/worksheets/sheet10.xml" Id="Rd7facf7d2ac84d14" /></Relationships>
</file>

<file path=xl/tables/table1.xml><?xml version="1.0" encoding="utf-8"?>
<x:table xmlns:x="http://schemas.openxmlformats.org/spreadsheetml/2006/main" id="10" name="EvaluationGuide" displayName="EvaluationGuide" ref="A4:C28" headerRowCount="1" totalsRowCount="0" totalsRowShown="0">
  <x:tableColumns count="3">
    <x:tableColumn id="1" name="Item"/>
    <x:tableColumn id="2" name="Value / interpretation"/>
    <x:tableColumn id="3" name="Scope and use"/>
  </x:tableColumns>
  <x:tableStyleInfo name="TableStyleLight1" showFirstColumn="0" showLastColumn="0" showRowStripes="1" showColumnStripes="0"/>
</x:table>
</file>

<file path=xl/tables/table2.xml><?xml version="1.0" encoding="utf-8"?>
<x:table xmlns:x="http://schemas.openxmlformats.org/spreadsheetml/2006/main" id="2" name="CriterionDefinitions" displayName="CriterionDefinitions" ref="A4:F30" headerRowCount="1" totalsRowCount="0" totalsRowShown="0">
  <x:tableColumns count="6">
    <x:tableColumn id="1" name="ID"/>
    <x:tableColumn id="2" name="Group"/>
    <x:tableColumn id="3" name="Criterion"/>
    <x:tableColumn id="4" name="What is assessed"/>
    <x:tableColumn id="5" name="Distinguishing failure probe"/>
    <x:tableColumn id="6" name="V2 mapping"/>
  </x:tableColumns>
  <x:tableStyleInfo name="TableStyleLight1" showFirstColumn="0" showLastColumn="0" showRowStripes="1" showColumnStripes="0"/>
</x:table>
</file>

<file path=xl/tables/table3.xml><?xml version="1.0" encoding="utf-8"?>
<x:table xmlns:x="http://schemas.openxmlformats.org/spreadsheetml/2006/main" id="5" name="Grid_Purpose" displayName="Grid_Purpose" ref="A4:H22" headerRowCount="1" totalsRowCount="0" totalsRowShown="0">
  <x:tableColumns count="8">
    <x:tableColumn id="1" name="Entry"/>
    <x:tableColumn id="2" name="Candidate"/>
    <x:tableColumn id="3" name="C01&#10;Owned outcome and scope"/>
    <x:tableColumn id="4" name="C02&#10;Specification and realization separation"/>
    <x:tableColumn id="5" name="C03&#10;Contextual meaning and identity"/>
    <x:tableColumn id="6" name="C04&#10;Composition and obligation conservation"/>
    <x:tableColumn id="7" name="C05&#10;Change and support invalidation"/>
    <x:tableColumn id="8" name="C06&#10;Constructed product release and adoption"/>
  </x:tableColumns>
  <x:tableStyleInfo name="TableStyleLight1" showFirstColumn="0" showLastColumn="0" showRowStripes="1" showColumnStripes="0"/>
</x:table>
</file>

<file path=xl/tables/table4.xml><?xml version="1.0" encoding="utf-8"?>
<x:table xmlns:x="http://schemas.openxmlformats.org/spreadsheetml/2006/main" id="6" name="Grid_Bounded_work" displayName="Grid_Bounded_work" ref="A4:H22" headerRowCount="1" totalsRowCount="0" totalsRowShown="0">
  <x:tableColumns count="8">
    <x:tableColumn id="1" name="Entry"/>
    <x:tableColumn id="2" name="Candidate"/>
    <x:tableColumn id="3" name="C07&#10;Targeted context acquisition"/>
    <x:tableColumn id="4" name="C08&#10;Envelope fit and capacity pressure"/>
    <x:tableColumn id="5" name="C09&#10;Bounded decomposition and delegation"/>
    <x:tableColumn id="6" name="C10&#10;Durable state and changed-actor resumption"/>
    <x:tableColumn id="7" name="C11&#10;Unknowns refusal and next action"/>
    <x:tableColumn id="8" name="C12&#10;Uncertain effects and safe replay"/>
  </x:tableColumns>
  <x:tableStyleInfo name="TableStyleLight1" showFirstColumn="0" showLastColumn="0" showRowStripes="1" showColumnStripes="0"/>
</x:table>
</file>

<file path=xl/tables/table5.xml><?xml version="1.0" encoding="utf-8"?>
<x:table xmlns:x="http://schemas.openxmlformats.org/spreadsheetml/2006/main" id="7" name="Grid_Assurance" displayName="Grid_Assurance" ref="A4:H22" headerRowCount="1" totalsRowCount="0" totalsRowShown="0">
  <x:tableColumns count="8">
    <x:tableColumn id="1" name="Entry"/>
    <x:tableColumn id="2" name="Candidate"/>
    <x:tableColumn id="3" name="C13&#10;Permission and effect boundaries"/>
    <x:tableColumn id="4" name="C14&#10;Claim-relative independent assessment"/>
    <x:tableColumn id="5" name="C15&#10;Independent expected outcomes and oracle checks"/>
    <x:tableColumn id="6" name="C16&#10;Claim evidence judgment and acceptance separation"/>
    <x:tableColumn id="7" name="C17&#10;Exact provenance and verdict scope"/>
    <x:tableColumn id="8" name="C18&#10;Negative cases and regression evaluation"/>
  </x:tableColumns>
  <x:tableStyleInfo name="TableStyleLight1" showFirstColumn="0" showLastColumn="0" showRowStripes="1" showColumnStripes="0"/>
</x:table>
</file>

<file path=xl/tables/table6.xml><?xml version="1.0" encoding="utf-8"?>
<x:table xmlns:x="http://schemas.openxmlformats.org/spreadsheetml/2006/main" id="8" name="Grid_Use_and_evidence" displayName="Grid_Use_and_evidence" ref="A4:H22" headerRowCount="1" totalsRowCount="0" totalsRowShown="0">
  <x:tableColumns count="8">
    <x:tableColumn id="1" name="Entry"/>
    <x:tableColumn id="2" name="Candidate"/>
    <x:tableColumn id="3" name="C19&#10;Onboarding and ordinary first use"/>
    <x:tableColumn id="4" name="C20&#10;Native reusable context and portability"/>
    <x:tableColumn id="5" name="C21&#10;Evaluation and feedback integration"/>
    <x:tableColumn id="6" name="C22&#10;Complete cost and resource observability"/>
    <x:tableColumn id="7" name="C23&#10;Scoped effectiveness evidence"/>
    <x:tableColumn id="8" name="C24&#10;Method self-qualification and usable fidelity"/>
  </x:tableColumns>
  <x:tableStyleInfo name="TableStyleLight1" showFirstColumn="0" showLastColumn="0" showRowStripes="1" showColumnStripes="0"/>
</x:table>
</file>

<file path=xl/tables/table7.xml><?xml version="1.0" encoding="utf-8"?>
<x:table xmlns:x="http://schemas.openxmlformats.org/spreadsheetml/2006/main" id="9" name="Grid_Operational_controls" displayName="Grid_Operational_controls" ref="A4:D22" headerRowCount="1" totalsRowCount="0" totalsRowShown="0">
  <x:tableColumns count="4">
    <x:tableColumn id="1" name="Entry"/>
    <x:tableColumn id="2" name="Candidate"/>
    <x:tableColumn id="3" name="C25&#10;Untrusted inputs and information boundaries"/>
    <x:tableColumn id="4" name="C26&#10;Enforced operational resource limits"/>
  </x:tableColumns>
  <x:tableStyleInfo name="TableStyleLight1" showFirstColumn="0" showLastColumn="0" showRowStripes="1" showColumnStripes="0"/>
</x:table>
</file>

<file path=xl/tables/table8.xml><?xml version="1.0" encoding="utf-8"?>
<x:table xmlns:x="http://schemas.openxmlformats.org/spreadsheetml/2006/main" id="1" name="EvidenceRecords" displayName="EvidenceRecords" ref="A4:I472" headerRowCount="1" totalsRowCount="0" totalsRowShown="0">
  <x:tableColumns count="9">
    <x:tableColumn id="1" name="Entry"/>
    <x:tableColumn id="2" name="Candidate"/>
    <x:tableColumn id="3" name="Criterion"/>
    <x:tableColumn id="4" name="Score"/>
    <x:tableColumn id="5" name="Form"/>
    <x:tableColumn id="6" name="Confidence"/>
    <x:tableColumn id="7" name="Source IDs"/>
    <x:tableColumn id="8" name="Analyst reason / limits"/>
    <x:tableColumn id="9" name="Exact source locators"/>
  </x:tableColumns>
  <x:tableStyleInfo name="TableStyleLight1" showFirstColumn="0" showLastColumn="0" showRowStripes="1" showColumnStripes="0"/>
</x:table>
</file>

<file path=xl/tables/table9.xml><?xml version="1.0" encoding="utf-8"?>
<x:table xmlns:x="http://schemas.openxmlformats.org/spreadsheetml/2006/main" id="3" name="PrimarySources" displayName="PrimarySources" ref="A4:F164" headerRowCount="1" totalsRowCount="0" totalsRowShown="0">
  <x:tableColumns count="6">
    <x:tableColumn id="1" name="Source ID"/>
    <x:tableColumn id="2" name="Entry"/>
    <x:tableColumn id="3" name="Primary source"/>
    <x:tableColumn id="4" name="URL / immutable local selector"/>
    <x:tableColumn id="5" name="Access date"/>
    <x:tableColumn id="6" name="Source qualification"/>
  </x:tableColumns>
  <x:tableStyleInfo name="TableStyleLight1" showFirstColumn="0" showLastColumn="0" showRowStripes="1" showColumnStripes="0"/>
</x:table>
</file>

<file path=xl/tables/table10.xml><?xml version="1.0" encoding="utf-8"?>
<x:table xmlns:x="http://schemas.openxmlformats.org/spreadsheetml/2006/main" id="4" name="CandidateScopes" displayName="CandidateScopes" ref="A4:F22" headerRowCount="1" totalsRowCount="0" totalsRowShown="0">
  <x:tableColumns count="6">
    <x:tableColumn id="1" name="Entry"/>
    <x:tableColumn id="2" name="Candidate"/>
    <x:tableColumn id="3" name="Declared class"/>
    <x:tableColumn id="4" name="Selected scope / exclusions"/>
    <x:tableColumn id="5" name="Version and status basis"/>
    <x:tableColumn id="6" name="Outcome evidence boundary"/>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61e01e922df4eb0" /></Relationships>
</file>

<file path=xl/worksheets/_rels/sheet2.xml.rels>&#65279;<?xml version="1.0" encoding="utf-8"?><Relationships xmlns="http://schemas.openxmlformats.org/package/2006/relationships"><Relationship Type="http://schemas.openxmlformats.org/officeDocument/2006/relationships/table" Target="/xl/tables/table2.xml" Id="R11539d34c85c4d03" /></Relationships>
</file>

<file path=xl/worksheets/_rels/sheet3.xml.rels>&#65279;<?xml version="1.0" encoding="utf-8"?><Relationships xmlns="http://schemas.openxmlformats.org/package/2006/relationships"><Relationship Type="http://schemas.openxmlformats.org/officeDocument/2006/relationships/table" Target="/xl/tables/table3.xml" Id="Rf277e9401b4b4102" /></Relationships>
</file>

<file path=xl/worksheets/_rels/sheet4.xml.rels>&#65279;<?xml version="1.0" encoding="utf-8"?><Relationships xmlns="http://schemas.openxmlformats.org/package/2006/relationships"><Relationship Type="http://schemas.openxmlformats.org/officeDocument/2006/relationships/table" Target="/xl/tables/table4.xml" Id="R94ead04ff2584941" /></Relationships>
</file>

<file path=xl/worksheets/_rels/sheet5.xml.rels>&#65279;<?xml version="1.0" encoding="utf-8"?><Relationships xmlns="http://schemas.openxmlformats.org/package/2006/relationships"><Relationship Type="http://schemas.openxmlformats.org/officeDocument/2006/relationships/table" Target="/xl/tables/table5.xml" Id="Rbee2957522bf4221" /></Relationships>
</file>

<file path=xl/worksheets/_rels/sheet6.xml.rels>&#65279;<?xml version="1.0" encoding="utf-8"?><Relationships xmlns="http://schemas.openxmlformats.org/package/2006/relationships"><Relationship Type="http://schemas.openxmlformats.org/officeDocument/2006/relationships/table" Target="/xl/tables/table6.xml" Id="R556423b1d01a4c9f" /></Relationships>
</file>

<file path=xl/worksheets/_rels/sheet7.xml.rels>&#65279;<?xml version="1.0" encoding="utf-8"?><Relationships xmlns="http://schemas.openxmlformats.org/package/2006/relationships"><Relationship Type="http://schemas.openxmlformats.org/officeDocument/2006/relationships/table" Target="/xl/tables/table7.xml" Id="Rd7d4a57fa4c44a99" /></Relationships>
</file>

<file path=xl/worksheets/_rels/sheet8.xml.rels>&#65279;<?xml version="1.0" encoding="utf-8"?><Relationships xmlns="http://schemas.openxmlformats.org/package/2006/relationships"><Relationship Type="http://schemas.openxmlformats.org/officeDocument/2006/relationships/table" Target="/xl/tables/table8.xml" Id="R1c157b30e6c34e65" /></Relationships>
</file>

<file path=xl/worksheets/_rels/sheet9.xml.rels>&#65279;<?xml version="1.0" encoding="utf-8"?><Relationships xmlns="http://schemas.openxmlformats.org/package/2006/relationships"><Relationship Type="http://schemas.openxmlformats.org/officeDocument/2006/relationships/table" Target="/xl/tables/table9.xml" Id="R3ac35002e8794b56" /></Relationships>
</file>

<file path=xl/worksheets/_rels/sheet10.xml.rels>&#65279;<?xml version="1.0" encoding="utf-8"?><Relationships xmlns="http://schemas.openxmlformats.org/package/2006/relationships"><Relationship Type="http://schemas.openxmlformats.org/officeDocument/2006/relationships/table" Target="/xl/tables/table10.xml" Id="R199aff0c5d9142b9"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1.110000610351562" hidden="0" customWidth="1"/>
    <x:col min="2" max="2" width="32.220001220703125" hidden="0" customWidth="1"/>
    <x:col min="3" max="3" width="81.11000061035156" hidden="0" customWidth="1"/>
  </x:cols>
  <x:sheetData>
    <x:row r="1" ht="25.5" customHeight="1">
      <x:c r="A1" s="4" t="str">
        <x:v>STDO v3 — AI methods and frameworks</x:v>
      </x:c>
      <x:c r="B1" s="4"/>
      <x:c r="C1" s="4"/>
    </x:row>
    <x:row r="2" ht="31.5" customHeight="1">
      <x:c r="A2" s="5" t="str">
        <x:v>Second evaluation. Read this guide, select a criterion group, then inspect Evidence, Sources and Candidates.</x:v>
      </x:c>
      <x:c r="B2" s="5"/>
      <x:c r="C2" s="5"/>
    </x:row>
    <x:row r="3" ht="7.5" customHeight="1">
      <x:c r="A3" s="3"/>
      <x:c r="B3" s="3"/>
      <x:c r="C3" s="3"/>
    </x:row>
    <x:row r="4" ht="30" customHeight="1">
      <x:c r="A4" s="8" t="str">
        <x:v>Item</x:v>
      </x:c>
      <x:c r="B4" s="8" t="str">
        <x:v>Value / interpretation</x:v>
      </x:c>
      <x:c r="C4" s="8" t="str">
        <x:v>Scope and use</x:v>
      </x:c>
    </x:row>
    <x:row r="5" ht="36" customHeight="1">
      <x:c r="A5" s="3" t="str">
        <x:v>Candidate entries</x:v>
      </x:c>
      <x:c r="B5" s="12" t="n">
        <x:f>COUNTA(Candidates!A5:A22)</x:f>
        <x:v>18</x:v>
      </x:c>
      <x:c r="C5" s="3" t="str">
        <x:v>Source-scoped rows; release and candidate statuses remain distinct.</x:v>
      </x:c>
    </x:row>
    <x:row r="6" ht="36" customHeight="1">
      <x:c r="A6" s="3" t="str">
        <x:v>Criteria</x:v>
      </x:c>
      <x:c r="B6" s="12" t="n">
        <x:f>COUNTA(Criteria!A5:A30)</x:f>
        <x:v>26</x:v>
      </x:c>
      <x:c r="C6" s="3" t="str">
        <x:v>Five groups; improved failure distinctions mapped to prior F01–F30.</x:v>
      </x:c>
    </x:row>
    <x:row r="7" ht="36" customHeight="1">
      <x:c r="A7" s="3" t="str">
        <x:v>Rated cells</x:v>
      </x:c>
      <x:c r="B7" s="12" t="n">
        <x:f>COUNTA(Evidence!A5:A472)</x:f>
        <x:v>468</x:v>
      </x:c>
      <x:c r="C7" s="3" t="str">
        <x:v>All cells carry reason, confidence and primary source IDs.</x:v>
      </x:c>
    </x:row>
    <x:row r="8" ht="36" customHeight="1">
      <x:c r="A8" s="3" t="str">
        <x:v>Numeric coverage ratings</x:v>
      </x:c>
      <x:c r="B8" s="12" t="n">
        <x:f>COUNT(Evidence!D5:D472)</x:f>
        <x:v>400</x:v>
      </x:c>
      <x:c r="C8" s="3" t="str">
        <x:v>Numbers are not measured reliability or implementation quality.</x:v>
      </x:c>
    </x:row>
    <x:row r="9" ht="36" customHeight="1">
      <x:c r="A9" s="3" t="str">
        <x:v>Unknown cells</x:v>
      </x:c>
      <x:c r="B9" s="12" t="n">
        <x:f>COUNTIF(Evidence!D5:D472,"U")</x:f>
        <x:v>56</x:v>
      </x:c>
      <x:c r="C9" s="3" t="str">
        <x:v>U stays unknown, never zero.</x:v>
      </x:c>
    </x:row>
    <x:row r="10" ht="36" customHeight="1">
      <x:c r="A10" s="3" t="str">
        <x:v>Outside-purpose cells</x:v>
      </x:c>
      <x:c r="B10" s="12" t="n">
        <x:f>COUNTIF(Evidence!D5:D472,"NA")</x:f>
        <x:v>12</x:v>
      </x:c>
      <x:c r="C10" s="3" t="str">
        <x:v>NA identifies a surrounding owner; excluded from any future selected summary.</x:v>
      </x:c>
    </x:row>
    <x:row r="11" ht="36" customHeight="1">
      <x:c r="A11" s="3" t="str">
        <x:v>Source records</x:v>
      </x:c>
      <x:c r="B11" s="12" t="n">
        <x:f>COUNTA(Sources!A5:A164)</x:f>
        <x:v>160</x:v>
      </x:c>
      <x:c r="C11" s="3" t="str">
        <x:v>Official docs/repositories/reports and exact local STDO selectors.</x:v>
      </x:c>
    </x:row>
    <x:row r="12" ht="36" customHeight="1">
      <x:c r="A12" s="3" t="str">
        <x:v>Evaluation date</x:v>
      </x:c>
      <x:c r="B12" s="3" t="str">
        <x:v>2026-10-12</x:v>
      </x:c>
      <x:c r="C12" s="3" t="str">
        <x:v>No new runtime or common effectiveness trial in this survey.</x:v>
      </x:c>
    </x:row>
    <x:row r="13" ht="36" customHeight="1">
      <x:c r="A13" s="3" t="str">
        <x:v>3 — full documented relation</x:v>
      </x:c>
      <x:c r="B13" s="3" t="str">
        <x:v>3D / 3R / 3G / 3L / 3P</x:v>
      </x:c>
      <x:c r="C13" s="3" t="str">
        <x:v>First-class explicit relation/mechanism within documented scope; suffix matters.</x:v>
      </x:c>
    </x:row>
    <x:row r="14" ht="36" customHeight="1">
      <x:c r="A14" s="3" t="str">
        <x:v>2 — narrower support</x:v>
      </x:c>
      <x:c r="B14" s="3" t="str">
        <x:v>2</x:v>
      </x:c>
      <x:c r="C14" s="3" t="str">
        <x:v>Explicit scoped/optional mechanism; material residual remains.</x:v>
      </x:c>
    </x:row>
    <x:row r="15" ht="36" customHeight="1">
      <x:c r="A15" s="3" t="str">
        <x:v>1 — partial support</x:v>
      </x:c>
      <x:c r="B15" s="3" t="str">
        <x:v>1</x:v>
      </x:c>
      <x:c r="C15" s="3" t="str">
        <x:v>Guidance/example/convention or materially partial relation.</x:v>
      </x:c>
    </x:row>
    <x:row r="16" ht="36" customHeight="1">
      <x:c r="A16" s="3" t="str">
        <x:v>0 — established absence</x:v>
      </x:c>
      <x:c r="B16" s="3" t="str">
        <x:v>0</x:v>
      </x:c>
      <x:c r="C16" s="3" t="str">
        <x:v>Only explicit lack or inspected complete-inventory omission; never inferred from limited search.</x:v>
      </x:c>
    </x:row>
    <x:row r="17" ht="36" customHeight="1">
      <x:c r="A17" s="3" t="str">
        <x:v>D — obligation</x:v>
      </x:c>
      <x:c r="B17" s="3" t="str">
        <x:v>Documented law</x:v>
      </x:c>
      <x:c r="C17" s="3" t="str">
        <x:v>A method rule can exist without runtime enforcement or discharged qualification.</x:v>
      </x:c>
    </x:row>
    <x:row r="18" ht="36" customHeight="1">
      <x:c r="A18" s="3" t="str">
        <x:v>R — runtime/API</x:v>
      </x:c>
      <x:c r="B18" s="3" t="str">
        <x:v>Published mechanism</x:v>
      </x:c>
      <x:c r="C18" s="3" t="str">
        <x:v>Documented support conditional on configuration/version; not executed here.</x:v>
      </x:c>
    </x:row>
    <x:row r="19" ht="36" customHeight="1">
      <x:c r="A19" s="3" t="str">
        <x:v>G — guidance</x:v>
      </x:c>
      <x:c r="B19" s="3" t="str">
        <x:v>Published path/example</x:v>
      </x:c>
      <x:c r="C19" s="3" t="str">
        <x:v>C19 can earn 3G for ordinary entry without measured user success.</x:v>
      </x:c>
    </x:row>
    <x:row r="20" ht="36" customHeight="1">
      <x:c r="A20" s="3" t="str">
        <x:v>L — local evidence</x:v>
      </x:c>
      <x:c r="B20" s="3" t="str">
        <x:v>Exact subject</x:v>
      </x:c>
      <x:c r="C20" s="3" t="str">
        <x:v>Historical verdicts cannot qualify a later repaired subject.</x:v>
      </x:c>
    </x:row>
    <x:row r="21" ht="36" customHeight="1">
      <x:c r="A21" s="3" t="str">
        <x:v>P — public experiment</x:v>
      </x:c>
      <x:c r="B21" s="3" t="str">
        <x:v>Named configuration</x:v>
      </x:c>
      <x:c r="C21" s="3" t="str">
        <x:v>Published results are not independently reproduced or universal superiority.</x:v>
      </x:c>
    </x:row>
    <x:row r="22" ht="36" customHeight="1">
      <x:c r="A22" s="3" t="str">
        <x:v>Proportionality</x:v>
      </x:c>
      <x:c r="B22" s="3" t="str">
        <x:v>C01 + C08 + C22 + C23</x:v>
      </x:c>
      <x:c r="C22" s="3" t="str">
        <x:v>Relate selected outcome, fit, total work and adequate results. No artifact-count proxy.</x:v>
      </x:c>
    </x:row>
    <x:row r="23" ht="36" customHeight="1">
      <x:c r="A23" s="3" t="str">
        <x:v>How to change a rating</x:v>
      </x:c>
      <x:c r="B23" s="3" t="str">
        <x:v>Evidence sheet</x:v>
      </x:c>
      <x:c r="C23" s="3" t="str">
        <x:v>Edit numeric Score and Form; revise source/reason and candidate version together.</x:v>
      </x:c>
    </x:row>
    <x:row r="24" ht="36" customHeight="1">
      <x:c r="A24" s="3" t="str">
        <x:v>How to assess outcomes</x:v>
      </x:c>
      <x:c r="B24" s="3" t="str">
        <x:v>C23</x:v>
      </x:c>
      <x:c r="C24" s="3" t="str">
        <x:v>Evaluation tooling (C21), self-use and resource counters alone are not effectiveness.</x:v>
      </x:c>
    </x:row>
    <x:row r="25" ht="36" customHeight="1">
      <x:c r="A25" s="3" t="str">
        <x:v>Current v3 qualification</x:v>
      </x:c>
      <x:c r="B25" s="3" t="str">
        <x:v>Open</x:v>
      </x:c>
      <x:c r="C25" s="3" t="str">
        <x:v>Claude F-01 outputs unassessed; Codex selected post-repair seams unconfirmed.</x:v>
      </x:c>
    </x:row>
    <x:row r="26" ht="36" customHeight="1">
      <x:c r="A26" s="3" t="str">
        <x:v>OpenAI Evals lifecycle</x:v>
      </x:c>
      <x:c r="B26" s="3" t="str">
        <x:v>Deprecated composition</x:v>
      </x:c>
      <x:c r="C26" s="3" t="str">
        <x:v>Read-only 2026-10-31; scheduled dashboard/API shutdown 2026-11-30. Agents SDK is not deprecated by this notice.</x:v>
      </x:c>
    </x:row>
    <x:row r="27" ht="36" customHeight="1">
      <x:c r="A27" s="3" t="str">
        <x:v>Comparison use</x:v>
      </x:c>
      <x:c r="B27" s="3" t="str">
        <x:v>Select a composition</x:v>
      </x:c>
      <x:c r="C27" s="3" t="str">
        <x:v>No global equal-weight total, tier, security claim or common-method winner.</x:v>
      </x:c>
    </x:row>
    <x:row r="28" ht="36" customHeight="1">
      <x:c r="A28" s="3" t="str">
        <x:v>Standing</x:v>
      </x:c>
      <x:c r="B28" s="3" t="str">
        <x:v>Open commentary</x:v>
      </x:c>
      <x:c r="C28" s="3" t="str">
        <x:v>No common Product amendment, acceptance, adoption or release is made by this workbook.</x:v>
      </x:c>
    </x:row>
  </x:sheetData>
  <x:mergeCells>
    <x:mergeCell ref="A1:C1"/>
    <x:mergeCell ref="A2:C2"/>
  </x:mergeCells>
  <x:pageMargins left="0.7" right="0.7" top="0.75" bottom="0.75" header="0.3" footer="0.3"/>
  <x:tableParts count="1">
    <x:tablePart xmlns:r="http://schemas.openxmlformats.org/officeDocument/2006/relationships" r:id="R661e01e922df4eb0"/>
  </x:tableParts>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7.78000020980835" hidden="0" customWidth="1"/>
    <x:col min="2" max="2" width="18.889999389648438" hidden="0" customWidth="1"/>
    <x:col min="3" max="3" width="26.670000076293945" hidden="0" customWidth="1"/>
    <x:col min="4" max="4" width="55.560001373291016" hidden="0" customWidth="1"/>
    <x:col min="5" max="5" width="48.88999938964844" hidden="0" customWidth="1"/>
    <x:col min="6" max="6" width="16.670000076293945" hidden="0" customWidth="1"/>
  </x:cols>
  <x:sheetData>
    <x:row r="1" ht="25.5" customHeight="1">
      <x:c r="A1" s="4" t="str">
        <x:v>Criteria — second-round definitions</x:v>
      </x:c>
      <x:c r="B1" s="4"/>
      <x:c r="C1" s="4"/>
      <x:c r="D1" s="4"/>
      <x:c r="E1" s="4"/>
      <x:c r="F1" s="4"/>
    </x:row>
    <x:row r="2" ht="31.5" customHeight="1">
      <x:c r="A2" s="5" t="str">
        <x:v>26 criteria; five groups. Old F25 becomes scope. Proportionality remains a lens across C01/C08/C22/C23.</x:v>
      </x:c>
      <x:c r="B2" s="5"/>
      <x:c r="C2" s="5"/>
      <x:c r="D2" s="5"/>
      <x:c r="E2" s="5"/>
      <x:c r="F2" s="5"/>
    </x:row>
    <x:row r="3" ht="7.5" customHeight="1">
      <x:c r="A3" s="3"/>
      <x:c r="B3" s="3"/>
      <x:c r="C3" s="3"/>
      <x:c r="D3" s="3"/>
      <x:c r="E3" s="3"/>
      <x:c r="F3" s="3"/>
    </x:row>
    <x:row r="4" ht="31.5" customHeight="1">
      <x:c r="A4" s="8" t="str">
        <x:v>ID</x:v>
      </x:c>
      <x:c r="B4" s="8" t="str">
        <x:v>Group</x:v>
      </x:c>
      <x:c r="C4" s="8" t="str">
        <x:v>Criterion</x:v>
      </x:c>
      <x:c r="D4" s="8" t="str">
        <x:v>What is assessed</x:v>
      </x:c>
      <x:c r="E4" s="8" t="str">
        <x:v>Distinguishing failure probe</x:v>
      </x:c>
      <x:c r="F4" s="8" t="str">
        <x:v>V2 mapping</x:v>
      </x:c>
    </x:row>
    <x:row r="5" ht="49.5" customHeight="1">
      <x:c r="A5" s="3" t="str">
        <x:v>C01</x:v>
      </x:c>
      <x:c r="B5" s="3" t="str">
        <x:v>Purpose and meaning</x:v>
      </x:c>
      <x:c r="C5" s="3" t="str">
        <x:v>Owned outcome and scope</x:v>
      </x:c>
      <x:c r="D5" s="3" t="str">
        <x:v>Outcome, exclusions, observable success and owner choices are explicit.</x:v>
      </x:c>
      <x:c r="E5" s="3" t="str">
        <x:v>Local checks pass while the selected owner outcome or an exclusion is violated.</x:v>
      </x:c>
      <x:c r="F5" s="3" t="str">
        <x:v>F01/F02</x:v>
      </x:c>
    </x:row>
    <x:row r="6" ht="49.5" customHeight="1">
      <x:c r="A6" s="3" t="str">
        <x:v>C02</x:v>
      </x:c>
      <x:c r="B6" s="3" t="str">
        <x:v>Purpose and meaning</x:v>
      </x:c>
      <x:c r="C6" s="3" t="str">
        <x:v>Specification and realization separation</x:v>
      </x:c>
      <x:c r="D6" s="3" t="str">
        <x:v>Requirements and implementation choices have recoverable traceability; a task prompt alone is weaker.</x:v>
      </x:c>
      <x:c r="E6" s="3" t="str">
        <x:v>Implementation satisfies its own plan while contradicting a requirement.</x:v>
      </x:c>
      <x:c r="F6" s="3" t="str">
        <x:v>F03/F04/F05</x:v>
      </x:c>
    </x:row>
    <x:row r="7" ht="49.5" customHeight="1">
      <x:c r="A7" s="3" t="str">
        <x:v>C03</x:v>
      </x:c>
      <x:c r="B7" s="3" t="str">
        <x:v>Purpose and meaning</x:v>
      </x:c>
      <x:c r="C7" s="3" t="str">
        <x:v>Contextual meaning and identity</x:v>
      </x:c>
      <x:c r="D7" s="3" t="str">
        <x:v>Subject, representation, identity, current state and interpretation remain distinguishable; typed JSON alone is weaker.</x:v>
      </x:c>
      <x:c r="E7" s="3" t="str">
        <x:v>Equal labels/bytes occur under different owners, states or interpretations.</x:v>
      </x:c>
      <x:c r="F7" s="3" t="str">
        <x:v>F06/F08</x:v>
      </x:c>
    </x:row>
    <x:row r="8" ht="49.5" customHeight="1">
      <x:c r="A8" s="3" t="str">
        <x:v>C04</x:v>
      </x:c>
      <x:c r="B8" s="3" t="str">
        <x:v>Purpose and meaning</x:v>
      </x:c>
      <x:c r="C8" s="3" t="str">
        <x:v>Composition and obligation conservation</x:v>
      </x:c>
      <x:c r="D8" s="3" t="str">
        <x:v>Compatible joins retain governing constraints, known failure and required missing coverage; sequencing alone is weaker.</x:v>
      </x:c>
      <x:c r="E8" s="3" t="str">
        <x:v>Join a falsified A and an uncovered required B; both must remain visible.</x:v>
      </x:c>
      <x:c r="F8" s="3" t="str">
        <x:v>F07/F09</x:v>
      </x:c>
    </x:row>
    <x:row r="9" ht="49.5" customHeight="1">
      <x:c r="A9" s="3" t="str">
        <x:v>C05</x:v>
      </x:c>
      <x:c r="B9" s="3" t="str">
        <x:v>Purpose and meaning</x:v>
      </x:c>
      <x:c r="C9" s="3" t="str">
        <x:v>Change and support invalidation</x:v>
      </x:c>
      <x:c r="D9" s="3" t="str">
        <x:v>Changed basis or requirements reopen affected support while retaining valid unaffected work; session replay alone is weaker.</x:v>
      </x:c>
      <x:c r="E9" s="3" t="str">
        <x:v>Change a material premise; reusing the old green judgment must fail.</x:v>
      </x:c>
      <x:c r="F9" s="3" t="str">
        <x:v>F22/F14</x:v>
      </x:c>
    </x:row>
    <x:row r="10" ht="49.5" customHeight="1">
      <x:c r="A10" s="3" t="str">
        <x:v>C06</x:v>
      </x:c>
      <x:c r="B10" s="3" t="str">
        <x:v>Purpose and meaning</x:v>
      </x:c>
      <x:c r="C10" s="3" t="str">
        <x:v>Constructed product release and adoption</x:v>
      </x:c>
      <x:c r="D10" s="3" t="str">
        <x:v>Governs identity, qualification and adoption of constructed products; releasing the SDK itself does not satisfy this.</x:v>
      </x:c>
      <x:c r="E10" s="3" t="str">
        <x:v>Change a released member or basis without explicit qualification/adoption.</x:v>
      </x:c>
      <x:c r="F10" s="3" t="str">
        <x:v>F23</x:v>
      </x:c>
    </x:row>
    <x:row r="11" ht="49.5" customHeight="1">
      <x:c r="A11" s="3" t="str">
        <x:v>C07</x:v>
      </x:c>
      <x:c r="B11" s="3" t="str">
        <x:v>Bounded work and recovery</x:v>
      </x:c>
      <x:c r="C11" s="3" t="str">
        <x:v>Targeted context acquisition</x:v>
      </x:c>
      <x:c r="D11" s="3" t="str">
        <x:v>Selects required sources and scoped context without ambient memory; strong claims expose material exclusions.</x:v>
      </x:c>
      <x:c r="E11" s="3" t="str">
        <x:v>Put necessary context in an excluded source and misleading instructions in ambient context.</x:v>
      </x:c>
      <x:c r="F11" s="3" t="str">
        <x:v>F10/F27</x:v>
      </x:c>
    </x:row>
    <x:row r="12" ht="49.5" customHeight="1">
      <x:c r="A12" s="3" t="str">
        <x:v>C08</x:v>
      </x:c>
      <x:c r="B12" s="3" t="str">
        <x:v>Bounded work and recovery</x:v>
      </x:c>
      <x:c r="C12" s="3" t="str">
        <x:v>Envelope fit and capacity pressure</x:v>
      </x:c>
      <x:c r="D12" s="3" t="str">
        <x:v>Declares actor/task capacity and truthful cannot-fit handling; counts actual required context. Compaction alone is partial.</x:v>
      </x:c>
      <x:c r="E12" s="3" t="str">
        <x:v>A coupled required relation exceeds the declared cap; silently trim nothing.</x:v>
      </x:c>
      <x:c r="F12" s="3" t="str">
        <x:v>F11</x:v>
      </x:c>
    </x:row>
    <x:row r="13" ht="49.5" customHeight="1">
      <x:c r="A13" s="3" t="str">
        <x:v>C09</x:v>
      </x:c>
      <x:c r="B13" s="3" t="str">
        <x:v>Bounded work and recovery</x:v>
      </x:c>
      <x:c r="C13" s="3" t="str">
        <x:v>Bounded decomposition and delegation</x:v>
      </x:c>
      <x:c r="D13" s="3" t="str">
        <x:v>Supports sufficient subtasks, handoffs and joins preserving the outer task; named roles alone are insufficient.</x:v>
      </x:c>
      <x:c r="E13" s="3" t="str">
        <x:v>A delegated result loses an outer obligation, source coordinate or known failure.</x:v>
      </x:c>
      <x:c r="F13" s="3" t="str">
        <x:v>F12/F13</x:v>
      </x:c>
    </x:row>
    <x:row r="14" ht="49.5" customHeight="1">
      <x:c r="A14" s="3" t="str">
        <x:v>C10</x:v>
      </x:c>
      <x:c r="B14" s="3" t="str">
        <x:v>Bounded work and recovery</x:v>
      </x:c>
      <x:c r="C14" s="3" t="str">
        <x:v>Durable state and changed-actor resumption</x:v>
      </x:c>
      <x:c r="D14" s="3" t="str">
        <x:v>Persists useful work/state and resumes with validity checks; retaining chat alone is partial.</x:v>
      </x:c>
      <x:c r="E14" s="3" t="str">
        <x:v>Resume with a fresh actor after a material workspace/basis change.</x:v>
      </x:c>
      <x:c r="F14" s="3" t="str">
        <x:v>F14/F15</x:v>
      </x:c>
    </x:row>
    <x:row r="15" ht="49.5" customHeight="1">
      <x:c r="A15" s="3" t="str">
        <x:v>C11</x:v>
      </x:c>
      <x:c r="B15" s="3" t="str">
        <x:v>Bounded work and recovery</x:v>
      </x:c>
      <x:c r="C15" s="3" t="str">
        <x:v>Unknowns refusal and next action</x:v>
      </x:c>
      <x:c r="D15" s="3" t="str">
        <x:v>Separates success/failure/unknown or invalid basis from permitted next action; retry-until-success is weaker.</x:v>
      </x:c>
      <x:c r="E15" s="3" t="str">
        <x:v>Exercise success, failure, insufficient evidence, missing capability and stale basis.</x:v>
      </x:c>
      <x:c r="F15" s="3" t="str">
        <x:v>F16/F15</x:v>
      </x:c>
    </x:row>
    <x:row r="16" ht="49.5" customHeight="1">
      <x:c r="A16" s="3" t="str">
        <x:v>C12</x:v>
      </x:c>
      <x:c r="B16" s="3" t="str">
        <x:v>Bounded work and recovery</x:v>
      </x:c>
      <x:c r="C16" s="3" t="str">
        <x:v>Uncertain effects and safe replay</x:v>
      </x:c>
      <x:c r="D16" s="3" t="str">
        <x:v>Supports reconciliation/idempotency boundaries or explicit unresolved effects before duplicate execution; checkpoints alone are weaker.</x:v>
      </x:c>
      <x:c r="E16" s="3" t="str">
        <x:v>Commit an effect, lose the response, then resume; do not blindly repeat it.</x:v>
      </x:c>
      <x:c r="F16" s="3" t="str">
        <x:v>F14/F17 split</x:v>
      </x:c>
    </x:row>
    <x:row r="17" ht="49.5" customHeight="1">
      <x:c r="A17" s="3" t="str">
        <x:v>C13</x:v>
      </x:c>
      <x:c r="B17" s="3" t="str">
        <x:v>Assurance and authority</x:v>
      </x:c>
      <x:c r="C17" s="3" t="str">
        <x:v>Permission and effect boundaries</x:v>
      </x:c>
      <x:c r="D17" s="3" t="str">
        <x:v>Defines or enforces exact grants and pre-effect controls including denied actions; post-effect guardrails are weaker.</x:v>
      </x:c>
      <x:c r="E17" s="3" t="str">
        <x:v>Use a named owner with no exact grant; deny before the selected effect.</x:v>
      </x:c>
      <x:c r="F17" s="3" t="str">
        <x:v>F17</x:v>
      </x:c>
    </x:row>
    <x:row r="18" ht="49.5" customHeight="1">
      <x:c r="A18" s="3" t="str">
        <x:v>C14</x:v>
      </x:c>
      <x:c r="B18" s="3" t="str">
        <x:v>Assurance and authority</x:v>
      </x:c>
      <x:c r="C18" s="3" t="str">
        <x:v>Claim-relative independent assessment</x:v>
      </x:c>
      <x:c r="D18" s="3" t="str">
        <x:v>Defines author/reference/evidence separation where needed; reviewer names or human tool approval alone are weaker.</x:v>
      </x:c>
      <x:c r="E18" s="3" t="str">
        <x:v>Author, reviewer or reference exposure violates the declared independence policy.</x:v>
      </x:c>
      <x:c r="F18" s="3" t="str">
        <x:v>F18</x:v>
      </x:c>
    </x:row>
    <x:row r="19" ht="49.5" customHeight="1">
      <x:c r="A19" s="3" t="str">
        <x:v>C15</x:v>
      </x:c>
      <x:c r="B19" s="3" t="str">
        <x:v>Assurance and authority</x:v>
      </x:c>
      <x:c r="C19" s="3" t="str">
        <x:v>Independent expected outcomes and oracle checks</x:v>
      </x:c>
      <x:c r="D19" s="3" t="str">
        <x:v>Expected answers independent of candidate output can expose faulty checkers; author-generated tests alone are weaker.</x:v>
      </x:c>
      <x:c r="E19" s="3" t="str">
        <x:v>A faulty checker accepts a known bad candidate or rejects a lawful alternative.</x:v>
      </x:c>
      <x:c r="F19" s="3" t="str">
        <x:v>F19 split</x:v>
      </x:c>
    </x:row>
    <x:row r="20" ht="49.5" customHeight="1">
      <x:c r="A20" s="3" t="str">
        <x:v>C16</x:v>
      </x:c>
      <x:c r="B20" s="3" t="str">
        <x:v>Assurance and authority</x:v>
      </x:c>
      <x:c r="C20" s="3" t="str">
        <x:v>Claim evidence judgment and acceptance separation</x:v>
      </x:c>
      <x:c r="D20" s="3" t="str">
        <x:v>Keeps mechanical/behavioral/semantic claims and owner acceptance distinct; generic approval buttons are partial.</x:v>
      </x:c>
      <x:c r="E20" s="3" t="str">
        <x:v>A valid parse or tool approval is offered as semantic acceptance.</x:v>
      </x:c>
      <x:c r="F20" s="3" t="str">
        <x:v>F20</x:v>
      </x:c>
    </x:row>
    <x:row r="21" ht="49.5" customHeight="1">
      <x:c r="A21" s="3" t="str">
        <x:v>C17</x:v>
      </x:c>
      <x:c r="B21" s="3" t="str">
        <x:v>Assurance and authority</x:v>
      </x:c>
      <x:c r="C21" s="3" t="str">
        <x:v>Exact provenance and verdict scope</x:v>
      </x:c>
      <x:c r="D21" s="3" t="str">
        <x:v>Binds results to subject/basis/evidence and limits claim scope; traces alone are partial.</x:v>
      </x:c>
      <x:c r="E21" s="3" t="str">
        <x:v>Evidence names the wrong subject/basis or generalizes beyond the measured population.</x:v>
      </x:c>
      <x:c r="F21" s="3" t="str">
        <x:v>F21</x:v>
      </x:c>
    </x:row>
    <x:row r="22" ht="49.5" customHeight="1">
      <x:c r="A22" s="3" t="str">
        <x:v>C18</x:v>
      </x:c>
      <x:c r="B22" s="3" t="str">
        <x:v>Assurance and authority</x:v>
      </x:c>
      <x:c r="C22" s="3" t="str">
        <x:v>Negative cases and regression evaluation</x:v>
      </x:c>
      <x:c r="D22" s="3" t="str">
        <x:v>Provides refusal/uncertainty/changed-basis cases and regression paths; happy-path demos alone are partial.</x:v>
      </x:c>
      <x:c r="E22" s="3" t="str">
        <x:v>A happy path passes but a refusal/uncertainty/changed-basis branch is defective.</x:v>
      </x:c>
      <x:c r="F22" s="3" t="str">
        <x:v>F19</x:v>
      </x:c>
    </x:row>
    <x:row r="23" ht="49.5" customHeight="1">
      <x:c r="A23" s="3" t="str">
        <x:v>C19</x:v>
      </x:c>
      <x:c r="B23" s="3" t="str">
        <x:v>Use and evidence</x:v>
      </x:c>
      <x:c r="C23" s="3" t="str">
        <x:v>Onboarding and ordinary first use</x:v>
      </x:c>
      <x:c r="D23" s="3" t="str">
        <x:v>Clear entry, supported examples and ordinary task path without private author/validator knowledge.</x:v>
      </x:c>
      <x:c r="E23" s="3" t="str">
        <x:v>A fresh ordinary user follows the published route without private rescue.</x:v>
      </x:c>
      <x:c r="F23" s="3" t="str">
        <x:v>F28</x:v>
      </x:c>
    </x:row>
    <x:row r="24" ht="49.5" customHeight="1">
      <x:c r="A24" s="3" t="str">
        <x:v>C20</x:v>
      </x:c>
      <x:c r="B24" s="3" t="str">
        <x:v>Use and evidence</x:v>
      </x:c>
      <x:c r="C24" s="3" t="str">
        <x:v>Native reusable context and portability</x:v>
      </x:c>
      <x:c r="D24" s="3" t="str">
        <x:v>Discoverable source-linked instructions/skills/schemas/frames reusable across tasks; opaque summaries are weaker.</x:v>
      </x:c>
      <x:c r="E24" s="3" t="str">
        <x:v>Move/reuse a package while changing its source; stale/opaque instructions must be detectable.</x:v>
      </x:c>
      <x:c r="F24" s="3" t="str">
        <x:v>F24/F27</x:v>
      </x:c>
    </x:row>
    <x:row r="25" ht="49.5" customHeight="1">
      <x:c r="A25" s="3" t="str">
        <x:v>C21</x:v>
      </x:c>
      <x:c r="B25" s="3" t="str">
        <x:v>Use and evidence</x:v>
      </x:c>
      <x:c r="C25" s="3" t="str">
        <x:v>Evaluation and feedback integration</x:v>
      </x:c>
      <x:c r="D25" s="3" t="str">
        <x:v>Reproducible evaluation, trace review, CI or feedback-to-source repair. Rates capability, not achieved effectiveness.</x:v>
      </x:c>
      <x:c r="E25" s="3" t="str">
        <x:v>Observed failures feed a reproducible rerun and a correction at the owning source.</x:v>
      </x:c>
      <x:c r="F25" s="3" t="str">
        <x:v>F15/F22</x:v>
      </x:c>
    </x:row>
    <x:row r="26" ht="49.5" customHeight="1">
      <x:c r="A26" s="3" t="str">
        <x:v>C22</x:v>
      </x:c>
      <x:c r="B26" s="3" t="str">
        <x:v>Use and evidence</x:v>
      </x:c>
      <x:c r="C26" s="3" t="str">
        <x:v>Complete cost and resource observability</x:v>
      </x:c>
      <x:c r="D26" s="3" t="str">
        <x:v>Exposes token semantics, time and delegated work where claimed; separates transfers, active context, critical path and aggregate work.</x:v>
      </x:c>
      <x:c r="E26" s="3" t="str">
        <x:v>Hide delegated or failed-attempt cost, or conflate transferred bytes with active context.</x:v>
      </x:c>
      <x:c r="F26" s="3" t="str">
        <x:v>F30/F11 proportionality lens</x:v>
      </x:c>
    </x:row>
    <x:row r="27" ht="49.5" customHeight="1">
      <x:c r="A27" s="3" t="str">
        <x:v>C23</x:v>
      </x:c>
      <x:c r="B27" s="3" t="str">
        <x:v>Use and evidence</x:v>
      </x:c>
      <x:c r="C27" s="3" t="str">
        <x:v>Scoped effectiveness evidence</x:v>
      </x:c>
      <x:c r="D27" s="3" t="str">
        <x:v>Measured outcomes for the selected method/framework. Model benchmarks or eval tooling alone are insufficient; superiority needs matched controls.</x:v>
      </x:c>
      <x:c r="E27" s="3" t="str">
        <x:v>Tool availability, internal use or a model leaderboard is offered as method effectiveness.</x:v>
      </x:c>
      <x:c r="F27" s="3" t="str">
        <x:v>F29</x:v>
      </x:c>
    </x:row>
    <x:row r="28" ht="49.5" customHeight="1">
      <x:c r="A28" s="3" t="str">
        <x:v>C24</x:v>
      </x:c>
      <x:c r="B28" s="3" t="str">
        <x:v>Use and evidence</x:v>
      </x:c>
      <x:c r="C28" s="3" t="str">
        <x:v>Method self-qualification and usable fidelity</x:v>
      </x:c>
      <x:c r="D28" s="3" t="str">
        <x:v>Tests fresh actors using method against source-derived expectations and faulty guidance/oracle controls; self-use or unit tests alone are weaker.</x:v>
      </x:c>
      <x:c r="E28" s="3" t="str">
        <x:v>Introduce faulty method guidance or oracle; fresh-use qualification must expose it.</x:v>
      </x:c>
      <x:c r="F28" s="3" t="str">
        <x:v>F26/F27/F28</x:v>
      </x:c>
    </x:row>
    <x:row r="29" ht="49.5" customHeight="1">
      <x:c r="A29" s="3" t="str">
        <x:v>C25</x:v>
      </x:c>
      <x:c r="B29" s="3" t="str">
        <x:v>Operational controls</x:v>
      </x:c>
      <x:c r="C29" s="3" t="str">
        <x:v>Untrusted inputs and information boundaries</x:v>
      </x:c>
      <x:c r="D29" s="3" t="str">
        <x:v>Documents or constrains authority of retrieved/context instructions and sensitive-data egress. Authorization alone is partial; no generic injection-prevention guarantee is assumed.</x:v>
      </x:c>
      <x:c r="E29" s="3" t="str">
        <x:v>Retrieved text requests a grant override or secret egress; data must not silently become instruction authority.</x:v>
      </x:c>
      <x:c r="F29" s="3" t="str">
        <x:v>New; sharpens F10/F17</x:v>
      </x:c>
    </x:row>
    <x:row r="30" ht="49.5" customHeight="1">
      <x:c r="A30" s="3" t="str">
        <x:v>C26</x:v>
      </x:c>
      <x:c r="B30" s="3" t="str">
        <x:v>Operational controls</x:v>
      </x:c>
      <x:c r="C30" s="3" t="str">
        <x:v>Enforced operational resource limits</x:v>
      </x:c>
      <x:c r="D30" s="3" t="str">
        <x:v>Configured spend/token/time/turn/concurrency/retry controls and cancellation expose their scope, delegated coverage and hard versus approximate limits. Observation alone is weaker.</x:v>
      </x:c>
      <x:c r="E30" s="3" t="str">
        <x:v>A child exhausts its allowance or ignores cancellation; distinguish a hard stop from a reporting-only/estimated budget.</x:v>
      </x:c>
      <x:c r="F30" s="3" t="str">
        <x:v>New; splits F11/F12/F30</x:v>
      </x:c>
    </x:row>
  </x:sheetData>
  <x:mergeCells>
    <x:mergeCell ref="A1:F1"/>
    <x:mergeCell ref="A2:F2"/>
  </x:mergeCells>
  <x:pageMargins left="0.7" right="0.7" top="0.75" bottom="0.75" header="0.3" footer="0.3"/>
  <x:tableParts count="1">
    <x:tablePart xmlns:r="http://schemas.openxmlformats.org/officeDocument/2006/relationships" r:id="R11539d34c85c4d03"/>
  </x:tableParts>
</x:worksheet>
</file>

<file path=xl/worksheets/sheet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3.890000343322754" hidden="0" customWidth="1"/>
    <x:col min="2" max="2" width="33.33000183105469" hidden="0" customWidth="1"/>
    <x:col min="3" max="3" width="17.780000686645508" hidden="0" customWidth="1"/>
    <x:col min="4" max="4" width="17.780000686645508" hidden="0" customWidth="1"/>
    <x:col min="5" max="5" width="17.780000686645508" hidden="0" customWidth="1"/>
    <x:col min="6" max="6" width="17.780000686645508" hidden="0" customWidth="1"/>
    <x:col min="7" max="7" width="17.780000686645508" hidden="0" customWidth="1"/>
    <x:col min="8" max="8" width="17.780000686645508" hidden="0" customWidth="1"/>
  </x:cols>
  <x:sheetData>
    <x:row r="1" ht="25.5" customHeight="1">
      <x:c r="A1" s="4" t="str">
        <x:v>Purpose and meaning — comparison grid</x:v>
      </x:c>
      <x:c r="B1" s="4"/>
      <x:c r="C1" s="4"/>
      <x:c r="D1" s="4"/>
      <x:c r="E1" s="4"/>
      <x:c r="F1" s="4"/>
      <x:c r="G1" s="4"/>
      <x:c r="H1" s="4"/>
    </x:row>
    <x:row r="2" ht="31.5" customHeight="1">
      <x:c r="A2" s="5" t="str">
        <x:v>0–3 = documented coverage; D rule, R API, G guidance, L local, P public measurement. U unknown; NA outside purpose. No sum or rank.</x:v>
      </x:c>
      <x:c r="B2" s="5"/>
      <x:c r="C2" s="5"/>
      <x:c r="D2" s="5"/>
      <x:c r="E2" s="5"/>
      <x:c r="F2" s="5"/>
      <x:c r="G2" s="5"/>
      <x:c r="H2" s="5"/>
    </x:row>
    <x:row r="3" ht="7.5" customHeight="1">
      <x:c r="A3" s="3"/>
      <x:c r="B3" s="3"/>
      <x:c r="C3" s="3"/>
      <x:c r="D3" s="3"/>
      <x:c r="E3" s="3"/>
      <x:c r="F3" s="3"/>
      <x:c r="G3" s="3"/>
      <x:c r="H3" s="3"/>
    </x:row>
    <x:row r="4" ht="72" customHeight="1">
      <x:c r="A4" s="8" t="str">
        <x:v>Entry</x:v>
      </x:c>
      <x:c r="B4" s="8" t="str">
        <x:v>Candidate</x:v>
      </x:c>
      <x:c r="C4" s="8" t="str">
        <x:v>C01
Owned outcome and scope</x:v>
      </x:c>
      <x:c r="D4" s="8" t="str">
        <x:v>C02
Specification and realization separation</x:v>
      </x:c>
      <x:c r="E4" s="8" t="str">
        <x:v>C03
Contextual meaning and identity</x:v>
      </x:c>
      <x:c r="F4" s="8" t="str">
        <x:v>C04
Composition and obligation conservation</x:v>
      </x:c>
      <x:c r="G4" s="8" t="str">
        <x:v>C05
Change and support invalidation</x:v>
      </x:c>
      <x:c r="H4" s="8" t="str">
        <x:v>C06
Constructed product release and adoption</x:v>
      </x:c>
    </x:row>
    <x:row r="5" ht="28.5" customHeight="1">
      <x:c r="A5" s="3" t="str">
        <x:v>ST25</x:v>
      </x:c>
      <x:c r="B5" s="3" t="str">
        <x:v>STDO 2.5.1-rc.2</x:v>
      </x:c>
      <x:c r="C5" s="11" t="str">
        <x:f>IF(ISNUMBER(Evidence!D5),Evidence!D5&amp;Evidence!E5,Evidence!D5)</x:f>
        <x:v>3D</x:v>
      </x:c>
      <x:c r="D5" s="11" t="str">
        <x:f>IF(ISNUMBER(Evidence!D6),Evidence!D6&amp;Evidence!E6,Evidence!D6)</x:f>
        <x:v>3D</x:v>
      </x:c>
      <x:c r="E5" s="11" t="str">
        <x:f>IF(ISNUMBER(Evidence!D7),Evidence!D7&amp;Evidence!E7,Evidence!D7)</x:f>
        <x:v>3D</x:v>
      </x:c>
      <x:c r="F5" s="11" t="str">
        <x:f>IF(ISNUMBER(Evidence!D8),Evidence!D8&amp;Evidence!E8,Evidence!D8)</x:f>
        <x:v>3D</x:v>
      </x:c>
      <x:c r="G5" s="11" t="str">
        <x:f>IF(ISNUMBER(Evidence!D9),Evidence!D9&amp;Evidence!E9,Evidence!D9)</x:f>
        <x:v>3D</x:v>
      </x:c>
      <x:c r="H5" s="11" t="str">
        <x:f>IF(ISNUMBER(Evidence!D10),Evidence!D10&amp;Evidence!E10,Evidence!D10)</x:f>
        <x:v>3D</x:v>
      </x:c>
    </x:row>
    <x:row r="6" ht="28.5" customHeight="1">
      <x:c r="A6" s="3" t="str">
        <x:v>ST3C</x:v>
      </x:c>
      <x:c r="B6" s="3" t="str">
        <x:v>STDO v3 — Claude candidate</x:v>
      </x:c>
      <x:c r="C6" s="11" t="str">
        <x:f>IF(ISNUMBER(Evidence!D31),Evidence!D31&amp;Evidence!E31,Evidence!D31)</x:f>
        <x:v>3D</x:v>
      </x:c>
      <x:c r="D6" s="11" t="str">
        <x:f>IF(ISNUMBER(Evidence!D32),Evidence!D32&amp;Evidence!E32,Evidence!D32)</x:f>
        <x:v>3D</x:v>
      </x:c>
      <x:c r="E6" s="11" t="str">
        <x:f>IF(ISNUMBER(Evidence!D33),Evidence!D33&amp;Evidence!E33,Evidence!D33)</x:f>
        <x:v>3D</x:v>
      </x:c>
      <x:c r="F6" s="11" t="str">
        <x:f>IF(ISNUMBER(Evidence!D34),Evidence!D34&amp;Evidence!E34,Evidence!D34)</x:f>
        <x:v>3D</x:v>
      </x:c>
      <x:c r="G6" s="11" t="str">
        <x:f>IF(ISNUMBER(Evidence!D35),Evidence!D35&amp;Evidence!E35,Evidence!D35)</x:f>
        <x:v>3D</x:v>
      </x:c>
      <x:c r="H6" s="11" t="str">
        <x:f>IF(ISNUMBER(Evidence!D36),Evidence!D36&amp;Evidence!E36,Evidence!D36)</x:f>
        <x:v>2D</x:v>
      </x:c>
    </x:row>
    <x:row r="7" ht="28.5" customHeight="1">
      <x:c r="A7" s="3" t="str">
        <x:v>ST3X</x:v>
      </x:c>
      <x:c r="B7" s="3" t="str">
        <x:v>STDO v3 — Codex candidate</x:v>
      </x:c>
      <x:c r="C7" s="11" t="str">
        <x:f>IF(ISNUMBER(Evidence!D57),Evidence!D57&amp;Evidence!E57,Evidence!D57)</x:f>
        <x:v>3D</x:v>
      </x:c>
      <x:c r="D7" s="11" t="str">
        <x:f>IF(ISNUMBER(Evidence!D58),Evidence!D58&amp;Evidence!E58,Evidence!D58)</x:f>
        <x:v>3D</x:v>
      </x:c>
      <x:c r="E7" s="11" t="str">
        <x:f>IF(ISNUMBER(Evidence!D59),Evidence!D59&amp;Evidence!E59,Evidence!D59)</x:f>
        <x:v>3D</x:v>
      </x:c>
      <x:c r="F7" s="11" t="str">
        <x:f>IF(ISNUMBER(Evidence!D60),Evidence!D60&amp;Evidence!E60,Evidence!D60)</x:f>
        <x:v>3D</x:v>
      </x:c>
      <x:c r="G7" s="11" t="str">
        <x:f>IF(ISNUMBER(Evidence!D61),Evidence!D61&amp;Evidence!E61,Evidence!D61)</x:f>
        <x:v>3D</x:v>
      </x:c>
      <x:c r="H7" s="11" t="str">
        <x:f>IF(ISNUMBER(Evidence!D62),Evidence!D62&amp;Evidence!E62,Evidence!D62)</x:f>
        <x:v>3D</x:v>
      </x:c>
    </x:row>
    <x:row r="8" ht="28.5" customHeight="1">
      <x:c r="A8" s="3" t="str">
        <x:v>SPECKIT</x:v>
      </x:c>
      <x:c r="B8" s="3" t="str">
        <x:v>GitHub Spec Kit</x:v>
      </x:c>
      <x:c r="C8" s="11" t="str">
        <x:f>IF(ISNUMBER(Evidence!D83),Evidence!D83&amp;Evidence!E83,Evidence!D83)</x:f>
        <x:v>3D</x:v>
      </x:c>
      <x:c r="D8" s="11" t="str">
        <x:f>IF(ISNUMBER(Evidence!D84),Evidence!D84&amp;Evidence!E84,Evidence!D84)</x:f>
        <x:v>3D</x:v>
      </x:c>
      <x:c r="E8" s="11" t="str">
        <x:f>IF(ISNUMBER(Evidence!D85),Evidence!D85&amp;Evidence!E85,Evidence!D85)</x:f>
        <x:v>2D</x:v>
      </x:c>
      <x:c r="F8" s="11" t="str">
        <x:f>IF(ISNUMBER(Evidence!D86),Evidence!D86&amp;Evidence!E86,Evidence!D86)</x:f>
        <x:v>2D</x:v>
      </x:c>
      <x:c r="G8" s="11" t="str">
        <x:f>IF(ISNUMBER(Evidence!D87),Evidence!D87&amp;Evidence!E87,Evidence!D87)</x:f>
        <x:v>2G</x:v>
      </x:c>
      <x:c r="H8" s="11" t="str">
        <x:f>IF(ISNUMBER(Evidence!D88),Evidence!D88&amp;Evidence!E88,Evidence!D88)</x:f>
        <x:v>U</x:v>
      </x:c>
    </x:row>
    <x:row r="9" ht="28.5" customHeight="1">
      <x:c r="A9" s="3" t="str">
        <x:v>BMAD</x:v>
      </x:c>
      <x:c r="B9" s="3" t="str">
        <x:v>BMad Method v6.12.2</x:v>
      </x:c>
      <x:c r="C9" s="11" t="str">
        <x:f>IF(ISNUMBER(Evidence!D109),Evidence!D109&amp;Evidence!E109,Evidence!D109)</x:f>
        <x:v>3D</x:v>
      </x:c>
      <x:c r="D9" s="11" t="str">
        <x:f>IF(ISNUMBER(Evidence!D110),Evidence!D110&amp;Evidence!E110,Evidence!D110)</x:f>
        <x:v>3D</x:v>
      </x:c>
      <x:c r="E9" s="11" t="str">
        <x:f>IF(ISNUMBER(Evidence!D111),Evidence!D111&amp;Evidence!E111,Evidence!D111)</x:f>
        <x:v>2D</x:v>
      </x:c>
      <x:c r="F9" s="11" t="str">
        <x:f>IF(ISNUMBER(Evidence!D112),Evidence!D112&amp;Evidence!E112,Evidence!D112)</x:f>
        <x:v>2D</x:v>
      </x:c>
      <x:c r="G9" s="11" t="str">
        <x:f>IF(ISNUMBER(Evidence!D113),Evidence!D113&amp;Evidence!E113,Evidence!D113)</x:f>
        <x:v>2D</x:v>
      </x:c>
      <x:c r="H9" s="11" t="str">
        <x:f>IF(ISNUMBER(Evidence!D114),Evidence!D114&amp;Evidence!E114,Evidence!D114)</x:f>
        <x:v>1D</x:v>
      </x:c>
    </x:row>
    <x:row r="10" ht="28.5" customHeight="1">
      <x:c r="A10" s="3" t="str">
        <x:v>OPENSPEC</x:v>
      </x:c>
      <x:c r="B10" s="3" t="str">
        <x:v>Fission AI OpenSpec</x:v>
      </x:c>
      <x:c r="C10" s="11" t="str">
        <x:f>IF(ISNUMBER(Evidence!D135),Evidence!D135&amp;Evidence!E135,Evidence!D135)</x:f>
        <x:v>3D</x:v>
      </x:c>
      <x:c r="D10" s="11" t="str">
        <x:f>IF(ISNUMBER(Evidence!D136),Evidence!D136&amp;Evidence!E136,Evidence!D136)</x:f>
        <x:v>3D</x:v>
      </x:c>
      <x:c r="E10" s="11" t="str">
        <x:f>IF(ISNUMBER(Evidence!D137),Evidence!D137&amp;Evidence!E137,Evidence!D137)</x:f>
        <x:v>2D</x:v>
      </x:c>
      <x:c r="F10" s="11" t="str">
        <x:f>IF(ISNUMBER(Evidence!D138),Evidence!D138&amp;Evidence!E138,Evidence!D138)</x:f>
        <x:v>1R</x:v>
      </x:c>
      <x:c r="G10" s="11" t="str">
        <x:f>IF(ISNUMBER(Evidence!D139),Evidence!D139&amp;Evidence!E139,Evidence!D139)</x:f>
        <x:v>1D</x:v>
      </x:c>
      <x:c r="H10" s="11" t="str">
        <x:f>IF(ISNUMBER(Evidence!D140),Evidence!D140&amp;Evidence!E140,Evidence!D140)</x:f>
        <x:v>U</x:v>
      </x:c>
    </x:row>
    <x:row r="11" ht="28.5" customHeight="1">
      <x:c r="A11" s="3" t="str">
        <x:v>CODEX</x:v>
      </x:c>
      <x:c r="B11" s="3" t="str">
        <x:v>OpenAI Codex</x:v>
      </x:c>
      <x:c r="C11" s="11" t="str">
        <x:f>IF(ISNUMBER(Evidence!D161),Evidence!D161&amp;Evidence!E161,Evidence!D161)</x:f>
        <x:v>2G</x:v>
      </x:c>
      <x:c r="D11" s="11" t="str">
        <x:f>IF(ISNUMBER(Evidence!D162),Evidence!D162&amp;Evidence!E162,Evidence!D162)</x:f>
        <x:v>1G</x:v>
      </x:c>
      <x:c r="E11" s="11" t="str">
        <x:f>IF(ISNUMBER(Evidence!D163),Evidence!D163&amp;Evidence!E163,Evidence!D163)</x:f>
        <x:v>1R</x:v>
      </x:c>
      <x:c r="F11" s="11" t="str">
        <x:f>IF(ISNUMBER(Evidence!D164),Evidence!D164&amp;Evidence!E164,Evidence!D164)</x:f>
        <x:v>U</x:v>
      </x:c>
      <x:c r="G11" s="11" t="str">
        <x:f>IF(ISNUMBER(Evidence!D165),Evidence!D165&amp;Evidence!E165,Evidence!D165)</x:f>
        <x:v>1G</x:v>
      </x:c>
      <x:c r="H11" s="11" t="str">
        <x:f>IF(ISNUMBER(Evidence!D166),Evidence!D166&amp;Evidence!E166,Evidence!D166)</x:f>
        <x:v>NA</x:v>
      </x:c>
    </x:row>
    <x:row r="12" ht="28.5" customHeight="1">
      <x:c r="A12" s="3" t="str">
        <x:v>CLAUDE</x:v>
      </x:c>
      <x:c r="B12" s="3" t="str">
        <x:v>Anthropic Claude Code</x:v>
      </x:c>
      <x:c r="C12" s="11" t="str">
        <x:f>IF(ISNUMBER(Evidence!D187),Evidence!D187&amp;Evidence!E187,Evidence!D187)</x:f>
        <x:v>2G</x:v>
      </x:c>
      <x:c r="D12" s="11" t="str">
        <x:f>IF(ISNUMBER(Evidence!D188),Evidence!D188&amp;Evidence!E188,Evidence!D188)</x:f>
        <x:v>2G</x:v>
      </x:c>
      <x:c r="E12" s="11" t="str">
        <x:f>IF(ISNUMBER(Evidence!D189),Evidence!D189&amp;Evidence!E189,Evidence!D189)</x:f>
        <x:v>1R</x:v>
      </x:c>
      <x:c r="F12" s="11" t="str">
        <x:f>IF(ISNUMBER(Evidence!D190),Evidence!D190&amp;Evidence!E190,Evidence!D190)</x:f>
        <x:v>U</x:v>
      </x:c>
      <x:c r="G12" s="11" t="str">
        <x:f>IF(ISNUMBER(Evidence!D191),Evidence!D191&amp;Evidence!E191,Evidence!D191)</x:f>
        <x:v>1R</x:v>
      </x:c>
      <x:c r="H12" s="11" t="str">
        <x:f>IF(ISNUMBER(Evidence!D192),Evidence!D192&amp;Evidence!E192,Evidence!D192)</x:f>
        <x:v>NA</x:v>
      </x:c>
    </x:row>
    <x:row r="13" ht="28.5" customHeight="1">
      <x:c r="A13" s="3" t="str">
        <x:v>GEMINI</x:v>
      </x:c>
      <x:c r="B13" s="3" t="str">
        <x:v>Google Gemini CLI</x:v>
      </x:c>
      <x:c r="C13" s="11" t="str">
        <x:f>IF(ISNUMBER(Evidence!D213),Evidence!D213&amp;Evidence!E213,Evidence!D213)</x:f>
        <x:v>2G</x:v>
      </x:c>
      <x:c r="D13" s="11" t="str">
        <x:f>IF(ISNUMBER(Evidence!D214),Evidence!D214&amp;Evidence!E214,Evidence!D214)</x:f>
        <x:v>2R</x:v>
      </x:c>
      <x:c r="E13" s="11" t="str">
        <x:f>IF(ISNUMBER(Evidence!D215),Evidence!D215&amp;Evidence!E215,Evidence!D215)</x:f>
        <x:v>1R</x:v>
      </x:c>
      <x:c r="F13" s="11" t="str">
        <x:f>IF(ISNUMBER(Evidence!D216),Evidence!D216&amp;Evidence!E216,Evidence!D216)</x:f>
        <x:v>U</x:v>
      </x:c>
      <x:c r="G13" s="11" t="str">
        <x:f>IF(ISNUMBER(Evidence!D217),Evidence!D217&amp;Evidence!E217,Evidence!D217)</x:f>
        <x:v>1R</x:v>
      </x:c>
      <x:c r="H13" s="11" t="str">
        <x:f>IF(ISNUMBER(Evidence!D218),Evidence!D218&amp;Evidence!E218,Evidence!D218)</x:f>
        <x:v>NA</x:v>
      </x:c>
    </x:row>
    <x:row r="14" ht="28.5" customHeight="1">
      <x:c r="A14" s="3" t="str">
        <x:v>QWEN</x:v>
      </x:c>
      <x:c r="B14" s="3" t="str">
        <x:v>Qwen Code</x:v>
      </x:c>
      <x:c r="C14" s="11" t="str">
        <x:f>IF(ISNUMBER(Evidence!D239),Evidence!D239&amp;Evidence!E239,Evidence!D239)</x:f>
        <x:v>2R</x:v>
      </x:c>
      <x:c r="D14" s="11" t="str">
        <x:f>IF(ISNUMBER(Evidence!D240),Evidence!D240&amp;Evidence!E240,Evidence!D240)</x:f>
        <x:v>2R</x:v>
      </x:c>
      <x:c r="E14" s="11" t="str">
        <x:f>IF(ISNUMBER(Evidence!D241),Evidence!D241&amp;Evidence!E241,Evidence!D241)</x:f>
        <x:v>2R</x:v>
      </x:c>
      <x:c r="F14" s="11" t="str">
        <x:f>IF(ISNUMBER(Evidence!D242),Evidence!D242&amp;Evidence!E242,Evidence!D242)</x:f>
        <x:v>2R</x:v>
      </x:c>
      <x:c r="G14" s="11" t="str">
        <x:f>IF(ISNUMBER(Evidence!D243),Evidence!D243&amp;Evidence!E243,Evidence!D243)</x:f>
        <x:v>2R</x:v>
      </x:c>
      <x:c r="H14" s="11" t="str">
        <x:f>IF(ISNUMBER(Evidence!D244),Evidence!D244&amp;Evidence!E244,Evidence!D244)</x:f>
        <x:v>NA</x:v>
      </x:c>
    </x:row>
    <x:row r="15" ht="28.5" customHeight="1">
      <x:c r="A15" s="3" t="str">
        <x:v>OASDK</x:v>
      </x:c>
      <x:c r="B15" s="3" t="str">
        <x:v>OpenAI Agents SDK</x:v>
      </x:c>
      <x:c r="C15" s="11" t="str">
        <x:f>IF(ISNUMBER(Evidence!D265),Evidence!D265&amp;Evidence!E265,Evidence!D265)</x:f>
        <x:v>2G</x:v>
      </x:c>
      <x:c r="D15" s="11" t="str">
        <x:f>IF(ISNUMBER(Evidence!D266),Evidence!D266&amp;Evidence!E266,Evidence!D266)</x:f>
        <x:v>U</x:v>
      </x:c>
      <x:c r="E15" s="11" t="str">
        <x:f>IF(ISNUMBER(Evidence!D267),Evidence!D267&amp;Evidence!E267,Evidence!D267)</x:f>
        <x:v>1R</x:v>
      </x:c>
      <x:c r="F15" s="11" t="str">
        <x:f>IF(ISNUMBER(Evidence!D268),Evidence!D268&amp;Evidence!E268,Evidence!D268)</x:f>
        <x:v>U</x:v>
      </x:c>
      <x:c r="G15" s="11" t="str">
        <x:f>IF(ISNUMBER(Evidence!D269),Evidence!D269&amp;Evidence!E269,Evidence!D269)</x:f>
        <x:v>U</x:v>
      </x:c>
      <x:c r="H15" s="11" t="str">
        <x:f>IF(ISNUMBER(Evidence!D270),Evidence!D270&amp;Evidence!E270,Evidence!D270)</x:f>
        <x:v>NA</x:v>
      </x:c>
    </x:row>
    <x:row r="16" ht="28.5" customHeight="1">
      <x:c r="A16" s="3" t="str">
        <x:v>CASDK</x:v>
      </x:c>
      <x:c r="B16" s="3" t="str">
        <x:v>Anthropic Claude Agent SDK</x:v>
      </x:c>
      <x:c r="C16" s="11" t="str">
        <x:f>IF(ISNUMBER(Evidence!D291),Evidence!D291&amp;Evidence!E291,Evidence!D291)</x:f>
        <x:v>2G</x:v>
      </x:c>
      <x:c r="D16" s="11" t="str">
        <x:f>IF(ISNUMBER(Evidence!D292),Evidence!D292&amp;Evidence!E292,Evidence!D292)</x:f>
        <x:v>U</x:v>
      </x:c>
      <x:c r="E16" s="11" t="str">
        <x:f>IF(ISNUMBER(Evidence!D293),Evidence!D293&amp;Evidence!E293,Evidence!D293)</x:f>
        <x:v>1R</x:v>
      </x:c>
      <x:c r="F16" s="11" t="str">
        <x:f>IF(ISNUMBER(Evidence!D294),Evidence!D294&amp;Evidence!E294,Evidence!D294)</x:f>
        <x:v>U</x:v>
      </x:c>
      <x:c r="G16" s="11" t="str">
        <x:f>IF(ISNUMBER(Evidence!D295),Evidence!D295&amp;Evidence!E295,Evidence!D295)</x:f>
        <x:v>U</x:v>
      </x:c>
      <x:c r="H16" s="11" t="str">
        <x:f>IF(ISNUMBER(Evidence!D296),Evidence!D296&amp;Evidence!E296,Evidence!D296)</x:f>
        <x:v>NA</x:v>
      </x:c>
    </x:row>
    <x:row r="17" ht="28.5" customHeight="1">
      <x:c r="A17" s="3" t="str">
        <x:v>ADK</x:v>
      </x:c>
      <x:c r="B17" s="3" t="str">
        <x:v>Google Agent Development Kit</x:v>
      </x:c>
      <x:c r="C17" s="11" t="str">
        <x:f>IF(ISNUMBER(Evidence!D317),Evidence!D317&amp;Evidence!E317,Evidence!D317)</x:f>
        <x:v>2G</x:v>
      </x:c>
      <x:c r="D17" s="11" t="str">
        <x:f>IF(ISNUMBER(Evidence!D318),Evidence!D318&amp;Evidence!E318,Evidence!D318)</x:f>
        <x:v>U</x:v>
      </x:c>
      <x:c r="E17" s="11" t="str">
        <x:f>IF(ISNUMBER(Evidence!D319),Evidence!D319&amp;Evidence!E319,Evidence!D319)</x:f>
        <x:v>1R</x:v>
      </x:c>
      <x:c r="F17" s="11" t="str">
        <x:f>IF(ISNUMBER(Evidence!D320),Evidence!D320&amp;Evidence!E320,Evidence!D320)</x:f>
        <x:v>U</x:v>
      </x:c>
      <x:c r="G17" s="11" t="str">
        <x:f>IF(ISNUMBER(Evidence!D321),Evidence!D321&amp;Evidence!E321,Evidence!D321)</x:f>
        <x:v>1D</x:v>
      </x:c>
      <x:c r="H17" s="11" t="str">
        <x:f>IF(ISNUMBER(Evidence!D322),Evidence!D322&amp;Evidence!E322,Evidence!D322)</x:f>
        <x:v>NA</x:v>
      </x:c>
    </x:row>
    <x:row r="18" ht="28.5" customHeight="1">
      <x:c r="A18" s="3" t="str">
        <x:v>OPENHANDS</x:v>
      </x:c>
      <x:c r="B18" s="3" t="str">
        <x:v>OpenHands Software Agent SDK</x:v>
      </x:c>
      <x:c r="C18" s="11" t="str">
        <x:f>IF(ISNUMBER(Evidence!D343),Evidence!D343&amp;Evidence!E343,Evidence!D343)</x:f>
        <x:v>1G</x:v>
      </x:c>
      <x:c r="D18" s="11" t="str">
        <x:f>IF(ISNUMBER(Evidence!D344),Evidence!D344&amp;Evidence!E344,Evidence!D344)</x:f>
        <x:v>1R</x:v>
      </x:c>
      <x:c r="E18" s="11" t="str">
        <x:f>IF(ISNUMBER(Evidence!D345),Evidence!D345&amp;Evidence!E345,Evidence!D345)</x:f>
        <x:v>2R</x:v>
      </x:c>
      <x:c r="F18" s="11" t="str">
        <x:f>IF(ISNUMBER(Evidence!D346),Evidence!D346&amp;Evidence!E346,Evidence!D346)</x:f>
        <x:v>1R</x:v>
      </x:c>
      <x:c r="G18" s="11" t="str">
        <x:f>IF(ISNUMBER(Evidence!D347),Evidence!D347&amp;Evidence!E347,Evidence!D347)</x:f>
        <x:v>U</x:v>
      </x:c>
      <x:c r="H18" s="11" t="str">
        <x:f>IF(ISNUMBER(Evidence!D348),Evidence!D348&amp;Evidence!E348,Evidence!D348)</x:f>
        <x:v>NA</x:v>
      </x:c>
    </x:row>
    <x:row r="19" ht="28.5" customHeight="1">
      <x:c r="A19" s="3" t="str">
        <x:v>LANGGRAPH</x:v>
      </x:c>
      <x:c r="B19" s="3" t="str">
        <x:v>LangGraph</x:v>
      </x:c>
      <x:c r="C19" s="11" t="str">
        <x:f>IF(ISNUMBER(Evidence!D369),Evidence!D369&amp;Evidence!E369,Evidence!D369)</x:f>
        <x:v>1G</x:v>
      </x:c>
      <x:c r="D19" s="11" t="str">
        <x:f>IF(ISNUMBER(Evidence!D370),Evidence!D370&amp;Evidence!E370,Evidence!D370)</x:f>
        <x:v>1G</x:v>
      </x:c>
      <x:c r="E19" s="11" t="str">
        <x:f>IF(ISNUMBER(Evidence!D371),Evidence!D371&amp;Evidence!E371,Evidence!D371)</x:f>
        <x:v>1R</x:v>
      </x:c>
      <x:c r="F19" s="11" t="str">
        <x:f>IF(ISNUMBER(Evidence!D372),Evidence!D372&amp;Evidence!E372,Evidence!D372)</x:f>
        <x:v>1R</x:v>
      </x:c>
      <x:c r="G19" s="11" t="str">
        <x:f>IF(ISNUMBER(Evidence!D373),Evidence!D373&amp;Evidence!E373,Evidence!D373)</x:f>
        <x:v>1R</x:v>
      </x:c>
      <x:c r="H19" s="11" t="str">
        <x:f>IF(ISNUMBER(Evidence!D374),Evidence!D374&amp;Evidence!E374,Evidence!D374)</x:f>
        <x:v>NA</x:v>
      </x:c>
    </x:row>
    <x:row r="20" ht="28.5" customHeight="1">
      <x:c r="A20" s="3" t="str">
        <x:v>MAF</x:v>
      </x:c>
      <x:c r="B20" s="3" t="str">
        <x:v>Microsoft Agent Framework</x:v>
      </x:c>
      <x:c r="C20" s="11" t="str">
        <x:f>IF(ISNUMBER(Evidence!D395),Evidence!D395&amp;Evidence!E395,Evidence!D395)</x:f>
        <x:v>1R</x:v>
      </x:c>
      <x:c r="D20" s="11" t="str">
        <x:f>IF(ISNUMBER(Evidence!D396),Evidence!D396&amp;Evidence!E396,Evidence!D396)</x:f>
        <x:v>1R</x:v>
      </x:c>
      <x:c r="E20" s="11" t="str">
        <x:f>IF(ISNUMBER(Evidence!D397),Evidence!D397&amp;Evidence!E397,Evidence!D397)</x:f>
        <x:v>1R</x:v>
      </x:c>
      <x:c r="F20" s="11" t="str">
        <x:f>IF(ISNUMBER(Evidence!D398),Evidence!D398&amp;Evidence!E398,Evidence!D398)</x:f>
        <x:v>1R</x:v>
      </x:c>
      <x:c r="G20" s="11" t="str">
        <x:f>IF(ISNUMBER(Evidence!D399),Evidence!D399&amp;Evidence!E399,Evidence!D399)</x:f>
        <x:v>1R</x:v>
      </x:c>
      <x:c r="H20" s="11" t="str">
        <x:f>IF(ISNUMBER(Evidence!D400),Evidence!D400&amp;Evidence!E400,Evidence!D400)</x:f>
        <x:v>NA</x:v>
      </x:c>
    </x:row>
    <x:row r="21" ht="28.5" customHeight="1">
      <x:c r="A21" s="3" t="str">
        <x:v>CREWAI</x:v>
      </x:c>
      <x:c r="B21" s="3" t="str">
        <x:v>CrewAI</x:v>
      </x:c>
      <x:c r="C21" s="11" t="str">
        <x:f>IF(ISNUMBER(Evidence!D421),Evidence!D421&amp;Evidence!E421,Evidence!D421)</x:f>
        <x:v>2R</x:v>
      </x:c>
      <x:c r="D21" s="11" t="str">
        <x:f>IF(ISNUMBER(Evidence!D422),Evidence!D422&amp;Evidence!E422,Evidence!D422)</x:f>
        <x:v>1R</x:v>
      </x:c>
      <x:c r="E21" s="11" t="str">
        <x:f>IF(ISNUMBER(Evidence!D423),Evidence!D423&amp;Evidence!E423,Evidence!D423)</x:f>
        <x:v>1R</x:v>
      </x:c>
      <x:c r="F21" s="11" t="str">
        <x:f>IF(ISNUMBER(Evidence!D424),Evidence!D424&amp;Evidence!E424,Evidence!D424)</x:f>
        <x:v>1R</x:v>
      </x:c>
      <x:c r="G21" s="11" t="str">
        <x:f>IF(ISNUMBER(Evidence!D425),Evidence!D425&amp;Evidence!E425,Evidence!D425)</x:f>
        <x:v>U</x:v>
      </x:c>
      <x:c r="H21" s="11" t="str">
        <x:f>IF(ISNUMBER(Evidence!D426),Evidence!D426&amp;Evidence!E426,Evidence!D426)</x:f>
        <x:v>NA</x:v>
      </x:c>
    </x:row>
    <x:row r="22" ht="28.5" customHeight="1">
      <x:c r="A22" s="3" t="str">
        <x:v>PYDANTIC</x:v>
      </x:c>
      <x:c r="B22" s="3" t="str">
        <x:v>Pydantic AI</x:v>
      </x:c>
      <x:c r="C22" s="11" t="str">
        <x:f>IF(ISNUMBER(Evidence!D447),Evidence!D447&amp;Evidence!E447,Evidence!D447)</x:f>
        <x:v>1R</x:v>
      </x:c>
      <x:c r="D22" s="11" t="str">
        <x:f>IF(ISNUMBER(Evidence!D448),Evidence!D448&amp;Evidence!E448,Evidence!D448)</x:f>
        <x:v>1R</x:v>
      </x:c>
      <x:c r="E22" s="11" t="str">
        <x:f>IF(ISNUMBER(Evidence!D449),Evidence!D449&amp;Evidence!E449,Evidence!D449)</x:f>
        <x:v>1R</x:v>
      </x:c>
      <x:c r="F22" s="11" t="str">
        <x:f>IF(ISNUMBER(Evidence!D450),Evidence!D450&amp;Evidence!E450,Evidence!D450)</x:f>
        <x:v>1R</x:v>
      </x:c>
      <x:c r="G22" s="11" t="str">
        <x:f>IF(ISNUMBER(Evidence!D451),Evidence!D451&amp;Evidence!E451,Evidence!D451)</x:f>
        <x:v>1G</x:v>
      </x:c>
      <x:c r="H22" s="11" t="str">
        <x:f>IF(ISNUMBER(Evidence!D452),Evidence!D452&amp;Evidence!E452,Evidence!D452)</x:f>
        <x:v>NA</x:v>
      </x:c>
    </x:row>
  </x:sheetData>
  <x:mergeCells>
    <x:mergeCell ref="A1:H1"/>
    <x:mergeCell ref="A2:H2"/>
  </x:mergeCells>
  <x:conditionalFormatting sqref="C5:H22">
    <x:cfRule type="cellIs" dxfId="0" priority="1" operator="equal">
      <x:formula>"3D"</x:formula>
    </x:cfRule>
    <x:cfRule type="cellIs" dxfId="1" priority="2" operator="equal">
      <x:formula>"3R"</x:formula>
    </x:cfRule>
    <x:cfRule type="cellIs" dxfId="2" priority="3" operator="equal">
      <x:formula>"3G"</x:formula>
    </x:cfRule>
    <x:cfRule type="cellIs" dxfId="3" priority="4" operator="equal">
      <x:formula>"3L"</x:formula>
    </x:cfRule>
    <x:cfRule type="cellIs" dxfId="4" priority="5" operator="equal">
      <x:formula>"3P"</x:formula>
    </x:cfRule>
    <x:cfRule type="cellIs" dxfId="5" priority="6" operator="equal">
      <x:formula>"2D"</x:formula>
    </x:cfRule>
    <x:cfRule type="cellIs" dxfId="6" priority="7" operator="equal">
      <x:formula>"2R"</x:formula>
    </x:cfRule>
    <x:cfRule type="cellIs" dxfId="7" priority="8" operator="equal">
      <x:formula>"2G"</x:formula>
    </x:cfRule>
    <x:cfRule type="cellIs" dxfId="8" priority="9" operator="equal">
      <x:formula>"2L"</x:formula>
    </x:cfRule>
    <x:cfRule type="cellIs" dxfId="9" priority="10" operator="equal">
      <x:formula>"2P"</x:formula>
    </x:cfRule>
    <x:cfRule type="cellIs" dxfId="10" priority="11" operator="equal">
      <x:formula>"1D"</x:formula>
    </x:cfRule>
    <x:cfRule type="cellIs" dxfId="11" priority="12" operator="equal">
      <x:formula>"1R"</x:formula>
    </x:cfRule>
    <x:cfRule type="cellIs" dxfId="12" priority="13" operator="equal">
      <x:formula>"1G"</x:formula>
    </x:cfRule>
    <x:cfRule type="cellIs" dxfId="13" priority="14" operator="equal">
      <x:formula>"1L"</x:formula>
    </x:cfRule>
    <x:cfRule type="cellIs" dxfId="14" priority="15" operator="equal">
      <x:formula>"1P"</x:formula>
    </x:cfRule>
    <x:cfRule type="cellIs" dxfId="15" priority="16" operator="equal">
      <x:formula>"0D"</x:formula>
    </x:cfRule>
    <x:cfRule type="cellIs" dxfId="16" priority="17" operator="equal">
      <x:formula>"0R"</x:formula>
    </x:cfRule>
    <x:cfRule type="cellIs" dxfId="17" priority="18" operator="equal">
      <x:formula>"0G"</x:formula>
    </x:cfRule>
    <x:cfRule type="cellIs" dxfId="18" priority="19" operator="equal">
      <x:formula>"0L"</x:formula>
    </x:cfRule>
    <x:cfRule type="cellIs" dxfId="19" priority="20" operator="equal">
      <x:formula>"0P"</x:formula>
    </x:cfRule>
    <x:cfRule type="cellIs" dxfId="20" priority="21" operator="equal">
      <x:formula>"U"</x:formula>
    </x:cfRule>
    <x:cfRule type="cellIs" dxfId="21" priority="22" operator="equal">
      <x:formula>"NA"</x:formula>
    </x:cfRule>
  </x:conditionalFormatting>
  <x:pageMargins left="0.7" right="0.7" top="0.75" bottom="0.75" header="0.3" footer="0.3"/>
  <x:tableParts count="1">
    <x:tablePart xmlns:r="http://schemas.openxmlformats.org/officeDocument/2006/relationships" r:id="Rf277e9401b4b4102"/>
  </x:tableParts>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3.890000343322754" hidden="0" customWidth="1"/>
    <x:col min="2" max="2" width="33.33000183105469" hidden="0" customWidth="1"/>
    <x:col min="3" max="3" width="17.780000686645508" hidden="0" customWidth="1"/>
    <x:col min="4" max="4" width="17.780000686645508" hidden="0" customWidth="1"/>
    <x:col min="5" max="5" width="17.780000686645508" hidden="0" customWidth="1"/>
    <x:col min="6" max="6" width="17.780000686645508" hidden="0" customWidth="1"/>
    <x:col min="7" max="7" width="17.780000686645508" hidden="0" customWidth="1"/>
    <x:col min="8" max="8" width="17.780000686645508" hidden="0" customWidth="1"/>
  </x:cols>
  <x:sheetData>
    <x:row r="1" ht="25.5" customHeight="1">
      <x:c r="A1" s="4" t="str">
        <x:v>Bounded work and recovery — comparison grid</x:v>
      </x:c>
      <x:c r="B1" s="4"/>
      <x:c r="C1" s="4"/>
      <x:c r="D1" s="4"/>
      <x:c r="E1" s="4"/>
      <x:c r="F1" s="4"/>
      <x:c r="G1" s="4"/>
      <x:c r="H1" s="4"/>
    </x:row>
    <x:row r="2" ht="31.5" customHeight="1">
      <x:c r="A2" s="5" t="str">
        <x:v>0–3 = documented coverage; D rule, R API, G guidance, L local, P public measurement. U unknown; NA outside purpose. No sum or rank.</x:v>
      </x:c>
      <x:c r="B2" s="5"/>
      <x:c r="C2" s="5"/>
      <x:c r="D2" s="5"/>
      <x:c r="E2" s="5"/>
      <x:c r="F2" s="5"/>
      <x:c r="G2" s="5"/>
      <x:c r="H2" s="5"/>
    </x:row>
    <x:row r="3" ht="7.5" customHeight="1">
      <x:c r="A3" s="3"/>
      <x:c r="B3" s="3"/>
      <x:c r="C3" s="3"/>
      <x:c r="D3" s="3"/>
      <x:c r="E3" s="3"/>
      <x:c r="F3" s="3"/>
      <x:c r="G3" s="3"/>
      <x:c r="H3" s="3"/>
    </x:row>
    <x:row r="4" ht="72" customHeight="1">
      <x:c r="A4" s="8" t="str">
        <x:v>Entry</x:v>
      </x:c>
      <x:c r="B4" s="8" t="str">
        <x:v>Candidate</x:v>
      </x:c>
      <x:c r="C4" s="8" t="str">
        <x:v>C07
Targeted context acquisition</x:v>
      </x:c>
      <x:c r="D4" s="8" t="str">
        <x:v>C08
Envelope fit and capacity pressure</x:v>
      </x:c>
      <x:c r="E4" s="8" t="str">
        <x:v>C09
Bounded decomposition and delegation</x:v>
      </x:c>
      <x:c r="F4" s="8" t="str">
        <x:v>C10
Durable state and changed-actor resumption</x:v>
      </x:c>
      <x:c r="G4" s="8" t="str">
        <x:v>C11
Unknowns refusal and next action</x:v>
      </x:c>
      <x:c r="H4" s="8" t="str">
        <x:v>C12
Uncertain effects and safe replay</x:v>
      </x:c>
    </x:row>
    <x:row r="5" ht="28.5" customHeight="1">
      <x:c r="A5" s="3" t="str">
        <x:v>ST25</x:v>
      </x:c>
      <x:c r="B5" s="3" t="str">
        <x:v>STDO 2.5.1-rc.2</x:v>
      </x:c>
      <x:c r="C5" s="11" t="str">
        <x:f>IF(ISNUMBER(Evidence!D11),Evidence!D11&amp;Evidence!E11,Evidence!D11)</x:f>
        <x:v>3D</x:v>
      </x:c>
      <x:c r="D5" s="11" t="str">
        <x:f>IF(ISNUMBER(Evidence!D12),Evidence!D12&amp;Evidence!E12,Evidence!D12)</x:f>
        <x:v>2D</x:v>
      </x:c>
      <x:c r="E5" s="11" t="str">
        <x:f>IF(ISNUMBER(Evidence!D13),Evidence!D13&amp;Evidence!E13,Evidence!D13)</x:f>
        <x:v>3D</x:v>
      </x:c>
      <x:c r="F5" s="11" t="str">
        <x:f>IF(ISNUMBER(Evidence!D14),Evidence!D14&amp;Evidence!E14,Evidence!D14)</x:f>
        <x:v>3D</x:v>
      </x:c>
      <x:c r="G5" s="11" t="str">
        <x:f>IF(ISNUMBER(Evidence!D15),Evidence!D15&amp;Evidence!E15,Evidence!D15)</x:f>
        <x:v>3D</x:v>
      </x:c>
      <x:c r="H5" s="11" t="str">
        <x:f>IF(ISNUMBER(Evidence!D16),Evidence!D16&amp;Evidence!E16,Evidence!D16)</x:f>
        <x:v>2D</x:v>
      </x:c>
    </x:row>
    <x:row r="6" ht="28.5" customHeight="1">
      <x:c r="A6" s="3" t="str">
        <x:v>ST3C</x:v>
      </x:c>
      <x:c r="B6" s="3" t="str">
        <x:v>STDO v3 — Claude candidate</x:v>
      </x:c>
      <x:c r="C6" s="11" t="str">
        <x:f>IF(ISNUMBER(Evidence!D37),Evidence!D37&amp;Evidence!E37,Evidence!D37)</x:f>
        <x:v>3D</x:v>
      </x:c>
      <x:c r="D6" s="11" t="str">
        <x:f>IF(ISNUMBER(Evidence!D38),Evidence!D38&amp;Evidence!E38,Evidence!D38)</x:f>
        <x:v>3D</x:v>
      </x:c>
      <x:c r="E6" s="11" t="str">
        <x:f>IF(ISNUMBER(Evidence!D39),Evidence!D39&amp;Evidence!E39,Evidence!D39)</x:f>
        <x:v>3D</x:v>
      </x:c>
      <x:c r="F6" s="11" t="str">
        <x:f>IF(ISNUMBER(Evidence!D40),Evidence!D40&amp;Evidence!E40,Evidence!D40)</x:f>
        <x:v>3D</x:v>
      </x:c>
      <x:c r="G6" s="11" t="str">
        <x:f>IF(ISNUMBER(Evidence!D41),Evidence!D41&amp;Evidence!E41,Evidence!D41)</x:f>
        <x:v>3D</x:v>
      </x:c>
      <x:c r="H6" s="11" t="str">
        <x:f>IF(ISNUMBER(Evidence!D42),Evidence!D42&amp;Evidence!E42,Evidence!D42)</x:f>
        <x:v>3D</x:v>
      </x:c>
    </x:row>
    <x:row r="7" ht="28.5" customHeight="1">
      <x:c r="A7" s="3" t="str">
        <x:v>ST3X</x:v>
      </x:c>
      <x:c r="B7" s="3" t="str">
        <x:v>STDO v3 — Codex candidate</x:v>
      </x:c>
      <x:c r="C7" s="11" t="str">
        <x:f>IF(ISNUMBER(Evidence!D63),Evidence!D63&amp;Evidence!E63,Evidence!D63)</x:f>
        <x:v>3D</x:v>
      </x:c>
      <x:c r="D7" s="11" t="str">
        <x:f>IF(ISNUMBER(Evidence!D64),Evidence!D64&amp;Evidence!E64,Evidence!D64)</x:f>
        <x:v>2D</x:v>
      </x:c>
      <x:c r="E7" s="11" t="str">
        <x:f>IF(ISNUMBER(Evidence!D65),Evidence!D65&amp;Evidence!E65,Evidence!D65)</x:f>
        <x:v>3D</x:v>
      </x:c>
      <x:c r="F7" s="11" t="str">
        <x:f>IF(ISNUMBER(Evidence!D66),Evidence!D66&amp;Evidence!E66,Evidence!D66)</x:f>
        <x:v>3D</x:v>
      </x:c>
      <x:c r="G7" s="11" t="str">
        <x:f>IF(ISNUMBER(Evidence!D67),Evidence!D67&amp;Evidence!E67,Evidence!D67)</x:f>
        <x:v>3D</x:v>
      </x:c>
      <x:c r="H7" s="11" t="str">
        <x:f>IF(ISNUMBER(Evidence!D68),Evidence!D68&amp;Evidence!E68,Evidence!D68)</x:f>
        <x:v>3D</x:v>
      </x:c>
    </x:row>
    <x:row r="8" ht="28.5" customHeight="1">
      <x:c r="A8" s="3" t="str">
        <x:v>SPECKIT</x:v>
      </x:c>
      <x:c r="B8" s="3" t="str">
        <x:v>GitHub Spec Kit</x:v>
      </x:c>
      <x:c r="C8" s="11" t="str">
        <x:f>IF(ISNUMBER(Evidence!D89),Evidence!D89&amp;Evidence!E89,Evidence!D89)</x:f>
        <x:v>3D</x:v>
      </x:c>
      <x:c r="D8" s="11" t="str">
        <x:f>IF(ISNUMBER(Evidence!D90),Evidence!D90&amp;Evidence!E90,Evidence!D90)</x:f>
        <x:v>1D</x:v>
      </x:c>
      <x:c r="E8" s="11" t="str">
        <x:f>IF(ISNUMBER(Evidence!D91),Evidence!D91&amp;Evidence!E91,Evidence!D91)</x:f>
        <x:v>2R</x:v>
      </x:c>
      <x:c r="F8" s="11" t="str">
        <x:f>IF(ISNUMBER(Evidence!D92),Evidence!D92&amp;Evidence!E92,Evidence!D92)</x:f>
        <x:v>2R</x:v>
      </x:c>
      <x:c r="G8" s="11" t="str">
        <x:f>IF(ISNUMBER(Evidence!D93),Evidence!D93&amp;Evidence!E93,Evidence!D93)</x:f>
        <x:v>2D</x:v>
      </x:c>
      <x:c r="H8" s="11" t="str">
        <x:f>IF(ISNUMBER(Evidence!D94),Evidence!D94&amp;Evidence!E94,Evidence!D94)</x:f>
        <x:v>1R</x:v>
      </x:c>
    </x:row>
    <x:row r="9" ht="28.5" customHeight="1">
      <x:c r="A9" s="3" t="str">
        <x:v>BMAD</x:v>
      </x:c>
      <x:c r="B9" s="3" t="str">
        <x:v>BMad Method v6.12.2</x:v>
      </x:c>
      <x:c r="C9" s="11" t="str">
        <x:f>IF(ISNUMBER(Evidence!D115),Evidence!D115&amp;Evidence!E115,Evidence!D115)</x:f>
        <x:v>3D</x:v>
      </x:c>
      <x:c r="D9" s="11" t="str">
        <x:f>IF(ISNUMBER(Evidence!D116),Evidence!D116&amp;Evidence!E116,Evidence!D116)</x:f>
        <x:v>2D</x:v>
      </x:c>
      <x:c r="E9" s="11" t="str">
        <x:f>IF(ISNUMBER(Evidence!D117),Evidence!D117&amp;Evidence!E117,Evidence!D117)</x:f>
        <x:v>3D</x:v>
      </x:c>
      <x:c r="F9" s="11" t="str">
        <x:f>IF(ISNUMBER(Evidence!D118),Evidence!D118&amp;Evidence!E118,Evidence!D118)</x:f>
        <x:v>2D</x:v>
      </x:c>
      <x:c r="G9" s="11" t="str">
        <x:f>IF(ISNUMBER(Evidence!D119),Evidence!D119&amp;Evidence!E119,Evidence!D119)</x:f>
        <x:v>3D</x:v>
      </x:c>
      <x:c r="H9" s="11" t="str">
        <x:f>IF(ISNUMBER(Evidence!D120),Evidence!D120&amp;Evidence!E120,Evidence!D120)</x:f>
        <x:v>1D</x:v>
      </x:c>
    </x:row>
    <x:row r="10" ht="28.5" customHeight="1">
      <x:c r="A10" s="3" t="str">
        <x:v>OPENSPEC</x:v>
      </x:c>
      <x:c r="B10" s="3" t="str">
        <x:v>Fission AI OpenSpec</x:v>
      </x:c>
      <x:c r="C10" s="11" t="str">
        <x:f>IF(ISNUMBER(Evidence!D141),Evidence!D141&amp;Evidence!E141,Evidence!D141)</x:f>
        <x:v>2R</x:v>
      </x:c>
      <x:c r="D10" s="11" t="str">
        <x:f>IF(ISNUMBER(Evidence!D142),Evidence!D142&amp;Evidence!E142,Evidence!D142)</x:f>
        <x:v>1G</x:v>
      </x:c>
      <x:c r="E10" s="11" t="str">
        <x:f>IF(ISNUMBER(Evidence!D143),Evidence!D143&amp;Evidence!E143,Evidence!D143)</x:f>
        <x:v>1G</x:v>
      </x:c>
      <x:c r="F10" s="11" t="str">
        <x:f>IF(ISNUMBER(Evidence!D144),Evidence!D144&amp;Evidence!E144,Evidence!D144)</x:f>
        <x:v>2R</x:v>
      </x:c>
      <x:c r="G10" s="11" t="str">
        <x:f>IF(ISNUMBER(Evidence!D145),Evidence!D145&amp;Evidence!E145,Evidence!D145)</x:f>
        <x:v>2R</x:v>
      </x:c>
      <x:c r="H10" s="11" t="str">
        <x:f>IF(ISNUMBER(Evidence!D146),Evidence!D146&amp;Evidence!E146,Evidence!D146)</x:f>
        <x:v>3R</x:v>
      </x:c>
    </x:row>
    <x:row r="11" ht="28.5" customHeight="1">
      <x:c r="A11" s="3" t="str">
        <x:v>CODEX</x:v>
      </x:c>
      <x:c r="B11" s="3" t="str">
        <x:v>OpenAI Codex</x:v>
      </x:c>
      <x:c r="C11" s="11" t="str">
        <x:f>IF(ISNUMBER(Evidence!D167),Evidence!D167&amp;Evidence!E167,Evidence!D167)</x:f>
        <x:v>2R</x:v>
      </x:c>
      <x:c r="D11" s="11" t="str">
        <x:f>IF(ISNUMBER(Evidence!D168),Evidence!D168&amp;Evidence!E168,Evidence!D168)</x:f>
        <x:v>1R</x:v>
      </x:c>
      <x:c r="E11" s="11" t="str">
        <x:f>IF(ISNUMBER(Evidence!D169),Evidence!D169&amp;Evidence!E169,Evidence!D169)</x:f>
        <x:v>2R</x:v>
      </x:c>
      <x:c r="F11" s="11" t="str">
        <x:f>IF(ISNUMBER(Evidence!D170),Evidence!D170&amp;Evidence!E170,Evidence!D170)</x:f>
        <x:v>2R</x:v>
      </x:c>
      <x:c r="G11" s="11" t="str">
        <x:f>IF(ISNUMBER(Evidence!D171),Evidence!D171&amp;Evidence!E171,Evidence!D171)</x:f>
        <x:v>2R</x:v>
      </x:c>
      <x:c r="H11" s="11" t="str">
        <x:f>IF(ISNUMBER(Evidence!D172),Evidence!D172&amp;Evidence!E172,Evidence!D172)</x:f>
        <x:v>1R</x:v>
      </x:c>
    </x:row>
    <x:row r="12" ht="28.5" customHeight="1">
      <x:c r="A12" s="3" t="str">
        <x:v>CLAUDE</x:v>
      </x:c>
      <x:c r="B12" s="3" t="str">
        <x:v>Anthropic Claude Code</x:v>
      </x:c>
      <x:c r="C12" s="11" t="str">
        <x:f>IF(ISNUMBER(Evidence!D193),Evidence!D193&amp;Evidence!E193,Evidence!D193)</x:f>
        <x:v>2R</x:v>
      </x:c>
      <x:c r="D12" s="11" t="str">
        <x:f>IF(ISNUMBER(Evidence!D194),Evidence!D194&amp;Evidence!E194,Evidence!D194)</x:f>
        <x:v>1R</x:v>
      </x:c>
      <x:c r="E12" s="11" t="str">
        <x:f>IF(ISNUMBER(Evidence!D195),Evidence!D195&amp;Evidence!E195,Evidence!D195)</x:f>
        <x:v>2R</x:v>
      </x:c>
      <x:c r="F12" s="11" t="str">
        <x:f>IF(ISNUMBER(Evidence!D196),Evidence!D196&amp;Evidence!E196,Evidence!D196)</x:f>
        <x:v>2R</x:v>
      </x:c>
      <x:c r="G12" s="11" t="str">
        <x:f>IF(ISNUMBER(Evidence!D197),Evidence!D197&amp;Evidence!E197,Evidence!D197)</x:f>
        <x:v>2R</x:v>
      </x:c>
      <x:c r="H12" s="11" t="str">
        <x:f>IF(ISNUMBER(Evidence!D198),Evidence!D198&amp;Evidence!E198,Evidence!D198)</x:f>
        <x:v>1R</x:v>
      </x:c>
    </x:row>
    <x:row r="13" ht="28.5" customHeight="1">
      <x:c r="A13" s="3" t="str">
        <x:v>GEMINI</x:v>
      </x:c>
      <x:c r="B13" s="3" t="str">
        <x:v>Google Gemini CLI</x:v>
      </x:c>
      <x:c r="C13" s="11" t="str">
        <x:f>IF(ISNUMBER(Evidence!D219),Evidence!D219&amp;Evidence!E219,Evidence!D219)</x:f>
        <x:v>2R</x:v>
      </x:c>
      <x:c r="D13" s="11" t="str">
        <x:f>IF(ISNUMBER(Evidence!D220),Evidence!D220&amp;Evidence!E220,Evidence!D220)</x:f>
        <x:v>1R</x:v>
      </x:c>
      <x:c r="E13" s="11" t="str">
        <x:f>IF(ISNUMBER(Evidence!D221),Evidence!D221&amp;Evidence!E221,Evidence!D221)</x:f>
        <x:v>2R</x:v>
      </x:c>
      <x:c r="F13" s="11" t="str">
        <x:f>IF(ISNUMBER(Evidence!D222),Evidence!D222&amp;Evidence!E222,Evidence!D222)</x:f>
        <x:v>2R</x:v>
      </x:c>
      <x:c r="G13" s="11" t="str">
        <x:f>IF(ISNUMBER(Evidence!D223),Evidence!D223&amp;Evidence!E223,Evidence!D223)</x:f>
        <x:v>2R</x:v>
      </x:c>
      <x:c r="H13" s="11" t="str">
        <x:f>IF(ISNUMBER(Evidence!D224),Evidence!D224&amp;Evidence!E224,Evidence!D224)</x:f>
        <x:v>1R</x:v>
      </x:c>
    </x:row>
    <x:row r="14" ht="28.5" customHeight="1">
      <x:c r="A14" s="3" t="str">
        <x:v>QWEN</x:v>
      </x:c>
      <x:c r="B14" s="3" t="str">
        <x:v>Qwen Code</x:v>
      </x:c>
      <x:c r="C14" s="11" t="str">
        <x:f>IF(ISNUMBER(Evidence!D245),Evidence!D245&amp;Evidence!E245,Evidence!D245)</x:f>
        <x:v>2R</x:v>
      </x:c>
      <x:c r="D14" s="11" t="str">
        <x:f>IF(ISNUMBER(Evidence!D246),Evidence!D246&amp;Evidence!E246,Evidence!D246)</x:f>
        <x:v>2R</x:v>
      </x:c>
      <x:c r="E14" s="11" t="str">
        <x:f>IF(ISNUMBER(Evidence!D247),Evidence!D247&amp;Evidence!E247,Evidence!D247)</x:f>
        <x:v>2R</x:v>
      </x:c>
      <x:c r="F14" s="11" t="str">
        <x:f>IF(ISNUMBER(Evidence!D248),Evidence!D248&amp;Evidence!E248,Evidence!D248)</x:f>
        <x:v>3R</x:v>
      </x:c>
      <x:c r="G14" s="11" t="str">
        <x:f>IF(ISNUMBER(Evidence!D249),Evidence!D249&amp;Evidence!E249,Evidence!D249)</x:f>
        <x:v>3R</x:v>
      </x:c>
      <x:c r="H14" s="11" t="str">
        <x:f>IF(ISNUMBER(Evidence!D250),Evidence!D250&amp;Evidence!E250,Evidence!D250)</x:f>
        <x:v>2R</x:v>
      </x:c>
    </x:row>
    <x:row r="15" ht="28.5" customHeight="1">
      <x:c r="A15" s="3" t="str">
        <x:v>OASDK</x:v>
      </x:c>
      <x:c r="B15" s="3" t="str">
        <x:v>OpenAI Agents SDK</x:v>
      </x:c>
      <x:c r="C15" s="11" t="str">
        <x:f>IF(ISNUMBER(Evidence!D271),Evidence!D271&amp;Evidence!E271,Evidence!D271)</x:f>
        <x:v>2R</x:v>
      </x:c>
      <x:c r="D15" s="11" t="str">
        <x:f>IF(ISNUMBER(Evidence!D272),Evidence!D272&amp;Evidence!E272,Evidence!D272)</x:f>
        <x:v>1R</x:v>
      </x:c>
      <x:c r="E15" s="11" t="str">
        <x:f>IF(ISNUMBER(Evidence!D273),Evidence!D273&amp;Evidence!E273,Evidence!D273)</x:f>
        <x:v>2R</x:v>
      </x:c>
      <x:c r="F15" s="11" t="str">
        <x:f>IF(ISNUMBER(Evidence!D274),Evidence!D274&amp;Evidence!E274,Evidence!D274)</x:f>
        <x:v>2R</x:v>
      </x:c>
      <x:c r="G15" s="11" t="str">
        <x:f>IF(ISNUMBER(Evidence!D275),Evidence!D275&amp;Evidence!E275,Evidence!D275)</x:f>
        <x:v>2R</x:v>
      </x:c>
      <x:c r="H15" s="11" t="str">
        <x:f>IF(ISNUMBER(Evidence!D276),Evidence!D276&amp;Evidence!E276,Evidence!D276)</x:f>
        <x:v>1G</x:v>
      </x:c>
    </x:row>
    <x:row r="16" ht="28.5" customHeight="1">
      <x:c r="A16" s="3" t="str">
        <x:v>CASDK</x:v>
      </x:c>
      <x:c r="B16" s="3" t="str">
        <x:v>Anthropic Claude Agent SDK</x:v>
      </x:c>
      <x:c r="C16" s="11" t="str">
        <x:f>IF(ISNUMBER(Evidence!D297),Evidence!D297&amp;Evidence!E297,Evidence!D297)</x:f>
        <x:v>2R</x:v>
      </x:c>
      <x:c r="D16" s="11" t="str">
        <x:f>IF(ISNUMBER(Evidence!D298),Evidence!D298&amp;Evidence!E298,Evidence!D298)</x:f>
        <x:v>1R</x:v>
      </x:c>
      <x:c r="E16" s="11" t="str">
        <x:f>IF(ISNUMBER(Evidence!D299),Evidence!D299&amp;Evidence!E299,Evidence!D299)</x:f>
        <x:v>2R</x:v>
      </x:c>
      <x:c r="F16" s="11" t="str">
        <x:f>IF(ISNUMBER(Evidence!D300),Evidence!D300&amp;Evidence!E300,Evidence!D300)</x:f>
        <x:v>2R</x:v>
      </x:c>
      <x:c r="G16" s="11" t="str">
        <x:f>IF(ISNUMBER(Evidence!D301),Evidence!D301&amp;Evidence!E301,Evidence!D301)</x:f>
        <x:v>2R</x:v>
      </x:c>
      <x:c r="H16" s="11" t="str">
        <x:f>IF(ISNUMBER(Evidence!D302),Evidence!D302&amp;Evidence!E302,Evidence!D302)</x:f>
        <x:v>1R</x:v>
      </x:c>
    </x:row>
    <x:row r="17" ht="28.5" customHeight="1">
      <x:c r="A17" s="3" t="str">
        <x:v>ADK</x:v>
      </x:c>
      <x:c r="B17" s="3" t="str">
        <x:v>Google Agent Development Kit</x:v>
      </x:c>
      <x:c r="C17" s="11" t="str">
        <x:f>IF(ISNUMBER(Evidence!D323),Evidence!D323&amp;Evidence!E323,Evidence!D323)</x:f>
        <x:v>2R</x:v>
      </x:c>
      <x:c r="D17" s="11" t="str">
        <x:f>IF(ISNUMBER(Evidence!D324),Evidence!D324&amp;Evidence!E324,Evidence!D324)</x:f>
        <x:v>U</x:v>
      </x:c>
      <x:c r="E17" s="11" t="str">
        <x:f>IF(ISNUMBER(Evidence!D325),Evidence!D325&amp;Evidence!E325,Evidence!D325)</x:f>
        <x:v>2R</x:v>
      </x:c>
      <x:c r="F17" s="11" t="str">
        <x:f>IF(ISNUMBER(Evidence!D326),Evidence!D326&amp;Evidence!E326,Evidence!D326)</x:f>
        <x:v>2R</x:v>
      </x:c>
      <x:c r="G17" s="11" t="str">
        <x:f>IF(ISNUMBER(Evidence!D327),Evidence!D327&amp;Evidence!E327,Evidence!D327)</x:f>
        <x:v>2R</x:v>
      </x:c>
      <x:c r="H17" s="11" t="str">
        <x:f>IF(ISNUMBER(Evidence!D328),Evidence!D328&amp;Evidence!E328,Evidence!D328)</x:f>
        <x:v>1G</x:v>
      </x:c>
    </x:row>
    <x:row r="18" ht="28.5" customHeight="1">
      <x:c r="A18" s="3" t="str">
        <x:v>OPENHANDS</x:v>
      </x:c>
      <x:c r="B18" s="3" t="str">
        <x:v>OpenHands Software Agent SDK</x:v>
      </x:c>
      <x:c r="C18" s="11" t="str">
        <x:f>IF(ISNUMBER(Evidence!D349),Evidence!D349&amp;Evidence!E349,Evidence!D349)</x:f>
        <x:v>2R</x:v>
      </x:c>
      <x:c r="D18" s="11" t="str">
        <x:f>IF(ISNUMBER(Evidence!D350),Evidence!D350&amp;Evidence!E350,Evidence!D350)</x:f>
        <x:v>1R</x:v>
      </x:c>
      <x:c r="E18" s="11" t="str">
        <x:f>IF(ISNUMBER(Evidence!D351),Evidence!D351&amp;Evidence!E351,Evidence!D351)</x:f>
        <x:v>2R</x:v>
      </x:c>
      <x:c r="F18" s="11" t="str">
        <x:f>IF(ISNUMBER(Evidence!D352),Evidence!D352&amp;Evidence!E352,Evidence!D352)</x:f>
        <x:v>2R</x:v>
      </x:c>
      <x:c r="G18" s="11" t="str">
        <x:f>IF(ISNUMBER(Evidence!D353),Evidence!D353&amp;Evidence!E353,Evidence!D353)</x:f>
        <x:v>2R</x:v>
      </x:c>
      <x:c r="H18" s="11" t="str">
        <x:f>IF(ISNUMBER(Evidence!D354),Evidence!D354&amp;Evidence!E354,Evidence!D354)</x:f>
        <x:v>1R</x:v>
      </x:c>
    </x:row>
    <x:row r="19" ht="28.5" customHeight="1">
      <x:c r="A19" s="3" t="str">
        <x:v>LANGGRAPH</x:v>
      </x:c>
      <x:c r="B19" s="3" t="str">
        <x:v>LangGraph</x:v>
      </x:c>
      <x:c r="C19" s="11" t="str">
        <x:f>IF(ISNUMBER(Evidence!D375),Evidence!D375&amp;Evidence!E375,Evidence!D375)</x:f>
        <x:v>2R</x:v>
      </x:c>
      <x:c r="D19" s="11" t="str">
        <x:f>IF(ISNUMBER(Evidence!D376),Evidence!D376&amp;Evidence!E376,Evidence!D376)</x:f>
        <x:v>1G</x:v>
      </x:c>
      <x:c r="E19" s="11" t="str">
        <x:f>IF(ISNUMBER(Evidence!D377),Evidence!D377&amp;Evidence!E377,Evidence!D377)</x:f>
        <x:v>2R</x:v>
      </x:c>
      <x:c r="F19" s="11" t="str">
        <x:f>IF(ISNUMBER(Evidence!D378),Evidence!D378&amp;Evidence!E378,Evidence!D378)</x:f>
        <x:v>3R</x:v>
      </x:c>
      <x:c r="G19" s="11" t="str">
        <x:f>IF(ISNUMBER(Evidence!D379),Evidence!D379&amp;Evidence!E379,Evidence!D379)</x:f>
        <x:v>2R</x:v>
      </x:c>
      <x:c r="H19" s="11" t="str">
        <x:f>IF(ISNUMBER(Evidence!D380),Evidence!D380&amp;Evidence!E380,Evidence!D380)</x:f>
        <x:v>2G</x:v>
      </x:c>
    </x:row>
    <x:row r="20" ht="28.5" customHeight="1">
      <x:c r="A20" s="3" t="str">
        <x:v>MAF</x:v>
      </x:c>
      <x:c r="B20" s="3" t="str">
        <x:v>Microsoft Agent Framework</x:v>
      </x:c>
      <x:c r="C20" s="11" t="str">
        <x:f>IF(ISNUMBER(Evidence!D401),Evidence!D401&amp;Evidence!E401,Evidence!D401)</x:f>
        <x:v>2R</x:v>
      </x:c>
      <x:c r="D20" s="11" t="str">
        <x:f>IF(ISNUMBER(Evidence!D402),Evidence!D402&amp;Evidence!E402,Evidence!D402)</x:f>
        <x:v>1G</x:v>
      </x:c>
      <x:c r="E20" s="11" t="str">
        <x:f>IF(ISNUMBER(Evidence!D403),Evidence!D403&amp;Evidence!E403,Evidence!D403)</x:f>
        <x:v>2R</x:v>
      </x:c>
      <x:c r="F20" s="11" t="str">
        <x:f>IF(ISNUMBER(Evidence!D404),Evidence!D404&amp;Evidence!E404,Evidence!D404)</x:f>
        <x:v>3R</x:v>
      </x:c>
      <x:c r="G20" s="11" t="str">
        <x:f>IF(ISNUMBER(Evidence!D405),Evidence!D405&amp;Evidence!E405,Evidence!D405)</x:f>
        <x:v>2R</x:v>
      </x:c>
      <x:c r="H20" s="11" t="str">
        <x:f>IF(ISNUMBER(Evidence!D406),Evidence!D406&amp;Evidence!E406,Evidence!D406)</x:f>
        <x:v>2R</x:v>
      </x:c>
    </x:row>
    <x:row r="21" ht="28.5" customHeight="1">
      <x:c r="A21" s="3" t="str">
        <x:v>CREWAI</x:v>
      </x:c>
      <x:c r="B21" s="3" t="str">
        <x:v>CrewAI</x:v>
      </x:c>
      <x:c r="C21" s="11" t="str">
        <x:f>IF(ISNUMBER(Evidence!D427),Evidence!D427&amp;Evidence!E427,Evidence!D427)</x:f>
        <x:v>2R</x:v>
      </x:c>
      <x:c r="D21" s="11" t="str">
        <x:f>IF(ISNUMBER(Evidence!D428),Evidence!D428&amp;Evidence!E428,Evidence!D428)</x:f>
        <x:v>2R</x:v>
      </x:c>
      <x:c r="E21" s="11" t="str">
        <x:f>IF(ISNUMBER(Evidence!D429),Evidence!D429&amp;Evidence!E429,Evidence!D429)</x:f>
        <x:v>2R</x:v>
      </x:c>
      <x:c r="F21" s="11" t="str">
        <x:f>IF(ISNUMBER(Evidence!D430),Evidence!D430&amp;Evidence!E430,Evidence!D430)</x:f>
        <x:v>2R</x:v>
      </x:c>
      <x:c r="G21" s="11" t="str">
        <x:f>IF(ISNUMBER(Evidence!D431),Evidence!D431&amp;Evidence!E431,Evidence!D431)</x:f>
        <x:v>1R</x:v>
      </x:c>
      <x:c r="H21" s="11" t="str">
        <x:f>IF(ISNUMBER(Evidence!D432),Evidence!D432&amp;Evidence!E432,Evidence!D432)</x:f>
        <x:v>1G</x:v>
      </x:c>
    </x:row>
    <x:row r="22" ht="28.5" customHeight="1">
      <x:c r="A22" s="3" t="str">
        <x:v>PYDANTIC</x:v>
      </x:c>
      <x:c r="B22" s="3" t="str">
        <x:v>Pydantic AI</x:v>
      </x:c>
      <x:c r="C22" s="11" t="str">
        <x:f>IF(ISNUMBER(Evidence!D453),Evidence!D453&amp;Evidence!E453,Evidence!D453)</x:f>
        <x:v>2R</x:v>
      </x:c>
      <x:c r="D22" s="11" t="str">
        <x:f>IF(ISNUMBER(Evidence!D454),Evidence!D454&amp;Evidence!E454,Evidence!D454)</x:f>
        <x:v>2R</x:v>
      </x:c>
      <x:c r="E22" s="11" t="str">
        <x:f>IF(ISNUMBER(Evidence!D455),Evidence!D455&amp;Evidence!E455,Evidence!D455)</x:f>
        <x:v>2R</x:v>
      </x:c>
      <x:c r="F22" s="11" t="str">
        <x:f>IF(ISNUMBER(Evidence!D456),Evidence!D456&amp;Evidence!E456,Evidence!D456)</x:f>
        <x:v>2R</x:v>
      </x:c>
      <x:c r="G22" s="11" t="str">
        <x:f>IF(ISNUMBER(Evidence!D457),Evidence!D457&amp;Evidence!E457,Evidence!D457)</x:f>
        <x:v>2R</x:v>
      </x:c>
      <x:c r="H22" s="11" t="str">
        <x:f>IF(ISNUMBER(Evidence!D458),Evidence!D458&amp;Evidence!E458,Evidence!D458)</x:f>
        <x:v>2G</x:v>
      </x:c>
    </x:row>
  </x:sheetData>
  <x:mergeCells>
    <x:mergeCell ref="A1:H1"/>
    <x:mergeCell ref="A2:H2"/>
  </x:mergeCells>
  <x:conditionalFormatting sqref="C5:H22">
    <x:cfRule type="cellIs" dxfId="22" priority="1" operator="equal">
      <x:formula>"3D"</x:formula>
    </x:cfRule>
    <x:cfRule type="cellIs" dxfId="23" priority="2" operator="equal">
      <x:formula>"3R"</x:formula>
    </x:cfRule>
    <x:cfRule type="cellIs" dxfId="24" priority="3" operator="equal">
      <x:formula>"3G"</x:formula>
    </x:cfRule>
    <x:cfRule type="cellIs" dxfId="25" priority="4" operator="equal">
      <x:formula>"3L"</x:formula>
    </x:cfRule>
    <x:cfRule type="cellIs" dxfId="26" priority="5" operator="equal">
      <x:formula>"3P"</x:formula>
    </x:cfRule>
    <x:cfRule type="cellIs" dxfId="27" priority="6" operator="equal">
      <x:formula>"2D"</x:formula>
    </x:cfRule>
    <x:cfRule type="cellIs" dxfId="28" priority="7" operator="equal">
      <x:formula>"2R"</x:formula>
    </x:cfRule>
    <x:cfRule type="cellIs" dxfId="29" priority="8" operator="equal">
      <x:formula>"2G"</x:formula>
    </x:cfRule>
    <x:cfRule type="cellIs" dxfId="30" priority="9" operator="equal">
      <x:formula>"2L"</x:formula>
    </x:cfRule>
    <x:cfRule type="cellIs" dxfId="31" priority="10" operator="equal">
      <x:formula>"2P"</x:formula>
    </x:cfRule>
    <x:cfRule type="cellIs" dxfId="32" priority="11" operator="equal">
      <x:formula>"1D"</x:formula>
    </x:cfRule>
    <x:cfRule type="cellIs" dxfId="33" priority="12" operator="equal">
      <x:formula>"1R"</x:formula>
    </x:cfRule>
    <x:cfRule type="cellIs" dxfId="34" priority="13" operator="equal">
      <x:formula>"1G"</x:formula>
    </x:cfRule>
    <x:cfRule type="cellIs" dxfId="35" priority="14" operator="equal">
      <x:formula>"1L"</x:formula>
    </x:cfRule>
    <x:cfRule type="cellIs" dxfId="36" priority="15" operator="equal">
      <x:formula>"1P"</x:formula>
    </x:cfRule>
    <x:cfRule type="cellIs" dxfId="37" priority="16" operator="equal">
      <x:formula>"0D"</x:formula>
    </x:cfRule>
    <x:cfRule type="cellIs" dxfId="38" priority="17" operator="equal">
      <x:formula>"0R"</x:formula>
    </x:cfRule>
    <x:cfRule type="cellIs" dxfId="39" priority="18" operator="equal">
      <x:formula>"0G"</x:formula>
    </x:cfRule>
    <x:cfRule type="cellIs" dxfId="40" priority="19" operator="equal">
      <x:formula>"0L"</x:formula>
    </x:cfRule>
    <x:cfRule type="cellIs" dxfId="41" priority="20" operator="equal">
      <x:formula>"0P"</x:formula>
    </x:cfRule>
    <x:cfRule type="cellIs" dxfId="42" priority="21" operator="equal">
      <x:formula>"U"</x:formula>
    </x:cfRule>
    <x:cfRule type="cellIs" dxfId="43" priority="22" operator="equal">
      <x:formula>"NA"</x:formula>
    </x:cfRule>
  </x:conditionalFormatting>
  <x:pageMargins left="0.7" right="0.7" top="0.75" bottom="0.75" header="0.3" footer="0.3"/>
  <x:tableParts count="1">
    <x:tablePart xmlns:r="http://schemas.openxmlformats.org/officeDocument/2006/relationships" r:id="R94ead04ff2584941"/>
  </x:tableParts>
</x:worksheet>
</file>

<file path=xl/worksheets/sheet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3.890000343322754" hidden="0" customWidth="1"/>
    <x:col min="2" max="2" width="33.33000183105469" hidden="0" customWidth="1"/>
    <x:col min="3" max="3" width="17.780000686645508" hidden="0" customWidth="1"/>
    <x:col min="4" max="4" width="17.780000686645508" hidden="0" customWidth="1"/>
    <x:col min="5" max="5" width="17.780000686645508" hidden="0" customWidth="1"/>
    <x:col min="6" max="6" width="17.780000686645508" hidden="0" customWidth="1"/>
    <x:col min="7" max="7" width="17.780000686645508" hidden="0" customWidth="1"/>
    <x:col min="8" max="8" width="17.780000686645508" hidden="0" customWidth="1"/>
  </x:cols>
  <x:sheetData>
    <x:row r="1" ht="25.5" customHeight="1">
      <x:c r="A1" s="4" t="str">
        <x:v>Assurance and authority — comparison grid</x:v>
      </x:c>
      <x:c r="B1" s="4"/>
      <x:c r="C1" s="4"/>
      <x:c r="D1" s="4"/>
      <x:c r="E1" s="4"/>
      <x:c r="F1" s="4"/>
      <x:c r="G1" s="4"/>
      <x:c r="H1" s="4"/>
    </x:row>
    <x:row r="2" ht="31.5" customHeight="1">
      <x:c r="A2" s="5" t="str">
        <x:v>0–3 = documented coverage; D rule, R API, G guidance, L local, P public measurement. U unknown; NA outside purpose. No sum or rank.</x:v>
      </x:c>
      <x:c r="B2" s="5"/>
      <x:c r="C2" s="5"/>
      <x:c r="D2" s="5"/>
      <x:c r="E2" s="5"/>
      <x:c r="F2" s="5"/>
      <x:c r="G2" s="5"/>
      <x:c r="H2" s="5"/>
    </x:row>
    <x:row r="3" ht="7.5" customHeight="1">
      <x:c r="A3" s="3"/>
      <x:c r="B3" s="3"/>
      <x:c r="C3" s="3"/>
      <x:c r="D3" s="3"/>
      <x:c r="E3" s="3"/>
      <x:c r="F3" s="3"/>
      <x:c r="G3" s="3"/>
      <x:c r="H3" s="3"/>
    </x:row>
    <x:row r="4" ht="72" customHeight="1">
      <x:c r="A4" s="8" t="str">
        <x:v>Entry</x:v>
      </x:c>
      <x:c r="B4" s="8" t="str">
        <x:v>Candidate</x:v>
      </x:c>
      <x:c r="C4" s="8" t="str">
        <x:v>C13
Permission and effect boundaries</x:v>
      </x:c>
      <x:c r="D4" s="8" t="str">
        <x:v>C14
Claim-relative independent assessment</x:v>
      </x:c>
      <x:c r="E4" s="8" t="str">
        <x:v>C15
Independent expected outcomes and oracle checks</x:v>
      </x:c>
      <x:c r="F4" s="8" t="str">
        <x:v>C16
Claim evidence judgment and acceptance separation</x:v>
      </x:c>
      <x:c r="G4" s="8" t="str">
        <x:v>C17
Exact provenance and verdict scope</x:v>
      </x:c>
      <x:c r="H4" s="8" t="str">
        <x:v>C18
Negative cases and regression evaluation</x:v>
      </x:c>
    </x:row>
    <x:row r="5" ht="28.5" customHeight="1">
      <x:c r="A5" s="3" t="str">
        <x:v>ST25</x:v>
      </x:c>
      <x:c r="B5" s="3" t="str">
        <x:v>STDO 2.5.1-rc.2</x:v>
      </x:c>
      <x:c r="C5" s="11" t="str">
        <x:f>IF(ISNUMBER(Evidence!D17),Evidence!D17&amp;Evidence!E17,Evidence!D17)</x:f>
        <x:v>3D</x:v>
      </x:c>
      <x:c r="D5" s="11" t="str">
        <x:f>IF(ISNUMBER(Evidence!D18),Evidence!D18&amp;Evidence!E18,Evidence!D18)</x:f>
        <x:v>3D</x:v>
      </x:c>
      <x:c r="E5" s="11" t="str">
        <x:f>IF(ISNUMBER(Evidence!D19),Evidence!D19&amp;Evidence!E19,Evidence!D19)</x:f>
        <x:v>3D</x:v>
      </x:c>
      <x:c r="F5" s="11" t="str">
        <x:f>IF(ISNUMBER(Evidence!D20),Evidence!D20&amp;Evidence!E20,Evidence!D20)</x:f>
        <x:v>3D</x:v>
      </x:c>
      <x:c r="G5" s="11" t="str">
        <x:f>IF(ISNUMBER(Evidence!D21),Evidence!D21&amp;Evidence!E21,Evidence!D21)</x:f>
        <x:v>3D</x:v>
      </x:c>
      <x:c r="H5" s="11" t="str">
        <x:f>IF(ISNUMBER(Evidence!D22),Evidence!D22&amp;Evidence!E22,Evidence!D22)</x:f>
        <x:v>3D</x:v>
      </x:c>
    </x:row>
    <x:row r="6" ht="28.5" customHeight="1">
      <x:c r="A6" s="3" t="str">
        <x:v>ST3C</x:v>
      </x:c>
      <x:c r="B6" s="3" t="str">
        <x:v>STDO v3 — Claude candidate</x:v>
      </x:c>
      <x:c r="C6" s="11" t="str">
        <x:f>IF(ISNUMBER(Evidence!D43),Evidence!D43&amp;Evidence!E43,Evidence!D43)</x:f>
        <x:v>3D</x:v>
      </x:c>
      <x:c r="D6" s="11" t="str">
        <x:f>IF(ISNUMBER(Evidence!D44),Evidence!D44&amp;Evidence!E44,Evidence!D44)</x:f>
        <x:v>3D</x:v>
      </x:c>
      <x:c r="E6" s="11" t="str">
        <x:f>IF(ISNUMBER(Evidence!D45),Evidence!D45&amp;Evidence!E45,Evidence!D45)</x:f>
        <x:v>3D</x:v>
      </x:c>
      <x:c r="F6" s="11" t="str">
        <x:f>IF(ISNUMBER(Evidence!D46),Evidence!D46&amp;Evidence!E46,Evidence!D46)</x:f>
        <x:v>3D</x:v>
      </x:c>
      <x:c r="G6" s="11" t="str">
        <x:f>IF(ISNUMBER(Evidence!D47),Evidence!D47&amp;Evidence!E47,Evidence!D47)</x:f>
        <x:v>3D</x:v>
      </x:c>
      <x:c r="H6" s="11" t="str">
        <x:f>IF(ISNUMBER(Evidence!D48),Evidence!D48&amp;Evidence!E48,Evidence!D48)</x:f>
        <x:v>3D</x:v>
      </x:c>
    </x:row>
    <x:row r="7" ht="28.5" customHeight="1">
      <x:c r="A7" s="3" t="str">
        <x:v>ST3X</x:v>
      </x:c>
      <x:c r="B7" s="3" t="str">
        <x:v>STDO v3 — Codex candidate</x:v>
      </x:c>
      <x:c r="C7" s="11" t="str">
        <x:f>IF(ISNUMBER(Evidence!D69),Evidence!D69&amp;Evidence!E69,Evidence!D69)</x:f>
        <x:v>3D</x:v>
      </x:c>
      <x:c r="D7" s="11" t="str">
        <x:f>IF(ISNUMBER(Evidence!D70),Evidence!D70&amp;Evidence!E70,Evidence!D70)</x:f>
        <x:v>3D</x:v>
      </x:c>
      <x:c r="E7" s="11" t="str">
        <x:f>IF(ISNUMBER(Evidence!D71),Evidence!D71&amp;Evidence!E71,Evidence!D71)</x:f>
        <x:v>3D</x:v>
      </x:c>
      <x:c r="F7" s="11" t="str">
        <x:f>IF(ISNUMBER(Evidence!D72),Evidence!D72&amp;Evidence!E72,Evidence!D72)</x:f>
        <x:v>3D</x:v>
      </x:c>
      <x:c r="G7" s="11" t="str">
        <x:f>IF(ISNUMBER(Evidence!D73),Evidence!D73&amp;Evidence!E73,Evidence!D73)</x:f>
        <x:v>3D</x:v>
      </x:c>
      <x:c r="H7" s="11" t="str">
        <x:f>IF(ISNUMBER(Evidence!D74),Evidence!D74&amp;Evidence!E74,Evidence!D74)</x:f>
        <x:v>3D</x:v>
      </x:c>
    </x:row>
    <x:row r="8" ht="28.5" customHeight="1">
      <x:c r="A8" s="3" t="str">
        <x:v>SPECKIT</x:v>
      </x:c>
      <x:c r="B8" s="3" t="str">
        <x:v>GitHub Spec Kit</x:v>
      </x:c>
      <x:c r="C8" s="11" t="str">
        <x:f>IF(ISNUMBER(Evidence!D95),Evidence!D95&amp;Evidence!E95,Evidence!D95)</x:f>
        <x:v>2R</x:v>
      </x:c>
      <x:c r="D8" s="11" t="str">
        <x:f>IF(ISNUMBER(Evidence!D96),Evidence!D96&amp;Evidence!E96,Evidence!D96)</x:f>
        <x:v>1D</x:v>
      </x:c>
      <x:c r="E8" s="11" t="str">
        <x:f>IF(ISNUMBER(Evidence!D97),Evidence!D97&amp;Evidence!E97,Evidence!D97)</x:f>
        <x:v>1D</x:v>
      </x:c>
      <x:c r="F8" s="11" t="str">
        <x:f>IF(ISNUMBER(Evidence!D98),Evidence!D98&amp;Evidence!E98,Evidence!D98)</x:f>
        <x:v>2D</x:v>
      </x:c>
      <x:c r="G8" s="11" t="str">
        <x:f>IF(ISNUMBER(Evidence!D99),Evidence!D99&amp;Evidence!E99,Evidence!D99)</x:f>
        <x:v>2D</x:v>
      </x:c>
      <x:c r="H8" s="11" t="str">
        <x:f>IF(ISNUMBER(Evidence!D100),Evidence!D100&amp;Evidence!E100,Evidence!D100)</x:f>
        <x:v>2D</x:v>
      </x:c>
    </x:row>
    <x:row r="9" ht="28.5" customHeight="1">
      <x:c r="A9" s="3" t="str">
        <x:v>BMAD</x:v>
      </x:c>
      <x:c r="B9" s="3" t="str">
        <x:v>BMad Method v6.12.2</x:v>
      </x:c>
      <x:c r="C9" s="11" t="str">
        <x:f>IF(ISNUMBER(Evidence!D121),Evidence!D121&amp;Evidence!E121,Evidence!D121)</x:f>
        <x:v>2D</x:v>
      </x:c>
      <x:c r="D9" s="11" t="str">
        <x:f>IF(ISNUMBER(Evidence!D122),Evidence!D122&amp;Evidence!E122,Evidence!D122)</x:f>
        <x:v>2D</x:v>
      </x:c>
      <x:c r="E9" s="11" t="str">
        <x:f>IF(ISNUMBER(Evidence!D123),Evidence!D123&amp;Evidence!E123,Evidence!D123)</x:f>
        <x:v>1D</x:v>
      </x:c>
      <x:c r="F9" s="11" t="str">
        <x:f>IF(ISNUMBER(Evidence!D124),Evidence!D124&amp;Evidence!E124,Evidence!D124)</x:f>
        <x:v>3D</x:v>
      </x:c>
      <x:c r="G9" s="11" t="str">
        <x:f>IF(ISNUMBER(Evidence!D125),Evidence!D125&amp;Evidence!E125,Evidence!D125)</x:f>
        <x:v>2D</x:v>
      </x:c>
      <x:c r="H9" s="11" t="str">
        <x:f>IF(ISNUMBER(Evidence!D126),Evidence!D126&amp;Evidence!E126,Evidence!D126)</x:f>
        <x:v>2D</x:v>
      </x:c>
    </x:row>
    <x:row r="10" ht="28.5" customHeight="1">
      <x:c r="A10" s="3" t="str">
        <x:v>OPENSPEC</x:v>
      </x:c>
      <x:c r="B10" s="3" t="str">
        <x:v>Fission AI OpenSpec</x:v>
      </x:c>
      <x:c r="C10" s="11" t="str">
        <x:f>IF(ISNUMBER(Evidence!D147),Evidence!D147&amp;Evidence!E147,Evidence!D147)</x:f>
        <x:v>2R</x:v>
      </x:c>
      <x:c r="D10" s="11" t="str">
        <x:f>IF(ISNUMBER(Evidence!D148),Evidence!D148&amp;Evidence!E148,Evidence!D148)</x:f>
        <x:v>1D</x:v>
      </x:c>
      <x:c r="E10" s="11" t="str">
        <x:f>IF(ISNUMBER(Evidence!D149),Evidence!D149&amp;Evidence!E149,Evidence!D149)</x:f>
        <x:v>1D</x:v>
      </x:c>
      <x:c r="F10" s="11" t="str">
        <x:f>IF(ISNUMBER(Evidence!D150),Evidence!D150&amp;Evidence!E150,Evidence!D150)</x:f>
        <x:v>2D</x:v>
      </x:c>
      <x:c r="G10" s="11" t="str">
        <x:f>IF(ISNUMBER(Evidence!D151),Evidence!D151&amp;Evidence!E151,Evidence!D151)</x:f>
        <x:v>1R</x:v>
      </x:c>
      <x:c r="H10" s="11" t="str">
        <x:f>IF(ISNUMBER(Evidence!D152),Evidence!D152&amp;Evidence!E152,Evidence!D152)</x:f>
        <x:v>2D</x:v>
      </x:c>
    </x:row>
    <x:row r="11" ht="28.5" customHeight="1">
      <x:c r="A11" s="3" t="str">
        <x:v>CODEX</x:v>
      </x:c>
      <x:c r="B11" s="3" t="str">
        <x:v>OpenAI Codex</x:v>
      </x:c>
      <x:c r="C11" s="11" t="str">
        <x:f>IF(ISNUMBER(Evidence!D173),Evidence!D173&amp;Evidence!E173,Evidence!D173)</x:f>
        <x:v>3R</x:v>
      </x:c>
      <x:c r="D11" s="11" t="str">
        <x:f>IF(ISNUMBER(Evidence!D174),Evidence!D174&amp;Evidence!E174,Evidence!D174)</x:f>
        <x:v>1G</x:v>
      </x:c>
      <x:c r="E11" s="11" t="str">
        <x:f>IF(ISNUMBER(Evidence!D175),Evidence!D175&amp;Evidence!E175,Evidence!D175)</x:f>
        <x:v>1G</x:v>
      </x:c>
      <x:c r="F11" s="11" t="str">
        <x:f>IF(ISNUMBER(Evidence!D176),Evidence!D176&amp;Evidence!E176,Evidence!D176)</x:f>
        <x:v>1G</x:v>
      </x:c>
      <x:c r="G11" s="11" t="str">
        <x:f>IF(ISNUMBER(Evidence!D177),Evidence!D177&amp;Evidence!E177,Evidence!D177)</x:f>
        <x:v>2G</x:v>
      </x:c>
      <x:c r="H11" s="11" t="str">
        <x:f>IF(ISNUMBER(Evidence!D178),Evidence!D178&amp;Evidence!E178,Evidence!D178)</x:f>
        <x:v>2G</x:v>
      </x:c>
    </x:row>
    <x:row r="12" ht="28.5" customHeight="1">
      <x:c r="A12" s="3" t="str">
        <x:v>CLAUDE</x:v>
      </x:c>
      <x:c r="B12" s="3" t="str">
        <x:v>Anthropic Claude Code</x:v>
      </x:c>
      <x:c r="C12" s="11" t="str">
        <x:f>IF(ISNUMBER(Evidence!D199),Evidence!D199&amp;Evidence!E199,Evidence!D199)</x:f>
        <x:v>3R</x:v>
      </x:c>
      <x:c r="D12" s="11" t="str">
        <x:f>IF(ISNUMBER(Evidence!D200),Evidence!D200&amp;Evidence!E200,Evidence!D200)</x:f>
        <x:v>2G</x:v>
      </x:c>
      <x:c r="E12" s="11" t="str">
        <x:f>IF(ISNUMBER(Evidence!D201),Evidence!D201&amp;Evidence!E201,Evidence!D201)</x:f>
        <x:v>1G</x:v>
      </x:c>
      <x:c r="F12" s="11" t="str">
        <x:f>IF(ISNUMBER(Evidence!D202),Evidence!D202&amp;Evidence!E202,Evidence!D202)</x:f>
        <x:v>1G</x:v>
      </x:c>
      <x:c r="G12" s="11" t="str">
        <x:f>IF(ISNUMBER(Evidence!D203),Evidence!D203&amp;Evidence!E203,Evidence!D203)</x:f>
        <x:v>1R</x:v>
      </x:c>
      <x:c r="H12" s="11" t="str">
        <x:f>IF(ISNUMBER(Evidence!D204),Evidence!D204&amp;Evidence!E204,Evidence!D204)</x:f>
        <x:v>2G</x:v>
      </x:c>
    </x:row>
    <x:row r="13" ht="28.5" customHeight="1">
      <x:c r="A13" s="3" t="str">
        <x:v>GEMINI</x:v>
      </x:c>
      <x:c r="B13" s="3" t="str">
        <x:v>Google Gemini CLI</x:v>
      </x:c>
      <x:c r="C13" s="11" t="str">
        <x:f>IF(ISNUMBER(Evidence!D225),Evidence!D225&amp;Evidence!E225,Evidence!D225)</x:f>
        <x:v>3R</x:v>
      </x:c>
      <x:c r="D13" s="11" t="str">
        <x:f>IF(ISNUMBER(Evidence!D226),Evidence!D226&amp;Evidence!E226,Evidence!D226)</x:f>
        <x:v>1R</x:v>
      </x:c>
      <x:c r="E13" s="11" t="str">
        <x:f>IF(ISNUMBER(Evidence!D227),Evidence!D227&amp;Evidence!E227,Evidence!D227)</x:f>
        <x:v>U</x:v>
      </x:c>
      <x:c r="F13" s="11" t="str">
        <x:f>IF(ISNUMBER(Evidence!D228),Evidence!D228&amp;Evidence!E228,Evidence!D228)</x:f>
        <x:v>1R</x:v>
      </x:c>
      <x:c r="G13" s="11" t="str">
        <x:f>IF(ISNUMBER(Evidence!D229),Evidence!D229&amp;Evidence!E229,Evidence!D229)</x:f>
        <x:v>1R</x:v>
      </x:c>
      <x:c r="H13" s="11" t="str">
        <x:f>IF(ISNUMBER(Evidence!D230),Evidence!D230&amp;Evidence!E230,Evidence!D230)</x:f>
        <x:v>1G</x:v>
      </x:c>
    </x:row>
    <x:row r="14" ht="28.5" customHeight="1">
      <x:c r="A14" s="3" t="str">
        <x:v>QWEN</x:v>
      </x:c>
      <x:c r="B14" s="3" t="str">
        <x:v>Qwen Code</x:v>
      </x:c>
      <x:c r="C14" s="11" t="str">
        <x:f>IF(ISNUMBER(Evidence!D251),Evidence!D251&amp;Evidence!E251,Evidence!D251)</x:f>
        <x:v>3R</x:v>
      </x:c>
      <x:c r="D14" s="11" t="str">
        <x:f>IF(ISNUMBER(Evidence!D252),Evidence!D252&amp;Evidence!E252,Evidence!D252)</x:f>
        <x:v>2R</x:v>
      </x:c>
      <x:c r="E14" s="11" t="str">
        <x:f>IF(ISNUMBER(Evidence!D253),Evidence!D253&amp;Evidence!E253,Evidence!D253)</x:f>
        <x:v>2P</x:v>
      </x:c>
      <x:c r="F14" s="11" t="str">
        <x:f>IF(ISNUMBER(Evidence!D254),Evidence!D254&amp;Evidence!E254,Evidence!D254)</x:f>
        <x:v>3R</x:v>
      </x:c>
      <x:c r="G14" s="11" t="str">
        <x:f>IF(ISNUMBER(Evidence!D255),Evidence!D255&amp;Evidence!E255,Evidence!D255)</x:f>
        <x:v>3R</x:v>
      </x:c>
      <x:c r="H14" s="11" t="str">
        <x:f>IF(ISNUMBER(Evidence!D256),Evidence!D256&amp;Evidence!E256,Evidence!D256)</x:f>
        <x:v>2R</x:v>
      </x:c>
    </x:row>
    <x:row r="15" ht="28.5" customHeight="1">
      <x:c r="A15" s="3" t="str">
        <x:v>OASDK</x:v>
      </x:c>
      <x:c r="B15" s="3" t="str">
        <x:v>OpenAI Agents SDK</x:v>
      </x:c>
      <x:c r="C15" s="11" t="str">
        <x:f>IF(ISNUMBER(Evidence!D277),Evidence!D277&amp;Evidence!E277,Evidence!D277)</x:f>
        <x:v>2R</x:v>
      </x:c>
      <x:c r="D15" s="11" t="str">
        <x:f>IF(ISNUMBER(Evidence!D278),Evidence!D278&amp;Evidence!E278,Evidence!D278)</x:f>
        <x:v>1R</x:v>
      </x:c>
      <x:c r="E15" s="11" t="str">
        <x:f>IF(ISNUMBER(Evidence!D279),Evidence!D279&amp;Evidence!E279,Evidence!D279)</x:f>
        <x:v>2R</x:v>
      </x:c>
      <x:c r="F15" s="11" t="str">
        <x:f>IF(ISNUMBER(Evidence!D280),Evidence!D280&amp;Evidence!E280,Evidence!D280)</x:f>
        <x:v>1R</x:v>
      </x:c>
      <x:c r="G15" s="11" t="str">
        <x:f>IF(ISNUMBER(Evidence!D281),Evidence!D281&amp;Evidence!E281,Evidence!D281)</x:f>
        <x:v>1R</x:v>
      </x:c>
      <x:c r="H15" s="11" t="str">
        <x:f>IF(ISNUMBER(Evidence!D282),Evidence!D282&amp;Evidence!E282,Evidence!D282)</x:f>
        <x:v>2R</x:v>
      </x:c>
    </x:row>
    <x:row r="16" ht="28.5" customHeight="1">
      <x:c r="A16" s="3" t="str">
        <x:v>CASDK</x:v>
      </x:c>
      <x:c r="B16" s="3" t="str">
        <x:v>Anthropic Claude Agent SDK</x:v>
      </x:c>
      <x:c r="C16" s="11" t="str">
        <x:f>IF(ISNUMBER(Evidence!D303),Evidence!D303&amp;Evidence!E303,Evidence!D303)</x:f>
        <x:v>3R</x:v>
      </x:c>
      <x:c r="D16" s="11" t="str">
        <x:f>IF(ISNUMBER(Evidence!D304),Evidence!D304&amp;Evidence!E304,Evidence!D304)</x:f>
        <x:v>1R</x:v>
      </x:c>
      <x:c r="E16" s="11" t="str">
        <x:f>IF(ISNUMBER(Evidence!D305),Evidence!D305&amp;Evidence!E305,Evidence!D305)</x:f>
        <x:v>U</x:v>
      </x:c>
      <x:c r="F16" s="11" t="str">
        <x:f>IF(ISNUMBER(Evidence!D306),Evidence!D306&amp;Evidence!E306,Evidence!D306)</x:f>
        <x:v>1R</x:v>
      </x:c>
      <x:c r="G16" s="11" t="str">
        <x:f>IF(ISNUMBER(Evidence!D307),Evidence!D307&amp;Evidence!E307,Evidence!D307)</x:f>
        <x:v>1R</x:v>
      </x:c>
      <x:c r="H16" s="11" t="str">
        <x:f>IF(ISNUMBER(Evidence!D308),Evidence!D308&amp;Evidence!E308,Evidence!D308)</x:f>
        <x:v>1R</x:v>
      </x:c>
    </x:row>
    <x:row r="17" ht="28.5" customHeight="1">
      <x:c r="A17" s="3" t="str">
        <x:v>ADK</x:v>
      </x:c>
      <x:c r="B17" s="3" t="str">
        <x:v>Google Agent Development Kit</x:v>
      </x:c>
      <x:c r="C17" s="11" t="str">
        <x:f>IF(ISNUMBER(Evidence!D329),Evidence!D329&amp;Evidence!E329,Evidence!D329)</x:f>
        <x:v>2R</x:v>
      </x:c>
      <x:c r="D17" s="11" t="str">
        <x:f>IF(ISNUMBER(Evidence!D330),Evidence!D330&amp;Evidence!E330,Evidence!D330)</x:f>
        <x:v>1R</x:v>
      </x:c>
      <x:c r="E17" s="11" t="str">
        <x:f>IF(ISNUMBER(Evidence!D331),Evidence!D331&amp;Evidence!E331,Evidence!D331)</x:f>
        <x:v>2R</x:v>
      </x:c>
      <x:c r="F17" s="11" t="str">
        <x:f>IF(ISNUMBER(Evidence!D332),Evidence!D332&amp;Evidence!E332,Evidence!D332)</x:f>
        <x:v>1R</x:v>
      </x:c>
      <x:c r="G17" s="11" t="str">
        <x:f>IF(ISNUMBER(Evidence!D333),Evidence!D333&amp;Evidence!E333,Evidence!D333)</x:f>
        <x:v>1R</x:v>
      </x:c>
      <x:c r="H17" s="11" t="str">
        <x:f>IF(ISNUMBER(Evidence!D334),Evidence!D334&amp;Evidence!E334,Evidence!D334)</x:f>
        <x:v>2R</x:v>
      </x:c>
    </x:row>
    <x:row r="18" ht="28.5" customHeight="1">
      <x:c r="A18" s="3" t="str">
        <x:v>OPENHANDS</x:v>
      </x:c>
      <x:c r="B18" s="3" t="str">
        <x:v>OpenHands Software Agent SDK</x:v>
      </x:c>
      <x:c r="C18" s="11" t="str">
        <x:f>IF(ISNUMBER(Evidence!D355),Evidence!D355&amp;Evidence!E355,Evidence!D355)</x:f>
        <x:v>2R</x:v>
      </x:c>
      <x:c r="D18" s="11" t="str">
        <x:f>IF(ISNUMBER(Evidence!D356),Evidence!D356&amp;Evidence!E356,Evidence!D356)</x:f>
        <x:v>2R</x:v>
      </x:c>
      <x:c r="E18" s="11" t="str">
        <x:f>IF(ISNUMBER(Evidence!D357),Evidence!D357&amp;Evidence!E357,Evidence!D357)</x:f>
        <x:v>2P</x:v>
      </x:c>
      <x:c r="F18" s="11" t="str">
        <x:f>IF(ISNUMBER(Evidence!D358),Evidence!D358&amp;Evidence!E358,Evidence!D358)</x:f>
        <x:v>1R</x:v>
      </x:c>
      <x:c r="G18" s="11" t="str">
        <x:f>IF(ISNUMBER(Evidence!D359),Evidence!D359&amp;Evidence!E359,Evidence!D359)</x:f>
        <x:v>2R</x:v>
      </x:c>
      <x:c r="H18" s="11" t="str">
        <x:f>IF(ISNUMBER(Evidence!D360),Evidence!D360&amp;Evidence!E360,Evidence!D360)</x:f>
        <x:v>2P</x:v>
      </x:c>
    </x:row>
    <x:row r="19" ht="28.5" customHeight="1">
      <x:c r="A19" s="3" t="str">
        <x:v>LANGGRAPH</x:v>
      </x:c>
      <x:c r="B19" s="3" t="str">
        <x:v>LangGraph</x:v>
      </x:c>
      <x:c r="C19" s="11" t="str">
        <x:f>IF(ISNUMBER(Evidence!D381),Evidence!D381&amp;Evidence!E381,Evidence!D381)</x:f>
        <x:v>2R</x:v>
      </x:c>
      <x:c r="D19" s="11" t="str">
        <x:f>IF(ISNUMBER(Evidence!D382),Evidence!D382&amp;Evidence!E382,Evidence!D382)</x:f>
        <x:v>U</x:v>
      </x:c>
      <x:c r="E19" s="11" t="str">
        <x:f>IF(ISNUMBER(Evidence!D383),Evidence!D383&amp;Evidence!E383,Evidence!D383)</x:f>
        <x:v>2R</x:v>
      </x:c>
      <x:c r="F19" s="11" t="str">
        <x:f>IF(ISNUMBER(Evidence!D384),Evidence!D384&amp;Evidence!E384,Evidence!D384)</x:f>
        <x:v>1R</x:v>
      </x:c>
      <x:c r="G19" s="11" t="str">
        <x:f>IF(ISNUMBER(Evidence!D385),Evidence!D385&amp;Evidence!E385,Evidence!D385)</x:f>
        <x:v>2R</x:v>
      </x:c>
      <x:c r="H19" s="11" t="str">
        <x:f>IF(ISNUMBER(Evidence!D386),Evidence!D386&amp;Evidence!E386,Evidence!D386)</x:f>
        <x:v>2R</x:v>
      </x:c>
    </x:row>
    <x:row r="20" ht="28.5" customHeight="1">
      <x:c r="A20" s="3" t="str">
        <x:v>MAF</x:v>
      </x:c>
      <x:c r="B20" s="3" t="str">
        <x:v>Microsoft Agent Framework</x:v>
      </x:c>
      <x:c r="C20" s="11" t="str">
        <x:f>IF(ISNUMBER(Evidence!D407),Evidence!D407&amp;Evidence!E407,Evidence!D407)</x:f>
        <x:v>2R</x:v>
      </x:c>
      <x:c r="D20" s="11" t="str">
        <x:f>IF(ISNUMBER(Evidence!D408),Evidence!D408&amp;Evidence!E408,Evidence!D408)</x:f>
        <x:v>U</x:v>
      </x:c>
      <x:c r="E20" s="11" t="str">
        <x:f>IF(ISNUMBER(Evidence!D409),Evidence!D409&amp;Evidence!E409,Evidence!D409)</x:f>
        <x:v>2R</x:v>
      </x:c>
      <x:c r="F20" s="11" t="str">
        <x:f>IF(ISNUMBER(Evidence!D410),Evidence!D410&amp;Evidence!E410,Evidence!D410)</x:f>
        <x:v>1R</x:v>
      </x:c>
      <x:c r="G20" s="11" t="str">
        <x:f>IF(ISNUMBER(Evidence!D411),Evidence!D411&amp;Evidence!E411,Evidence!D411)</x:f>
        <x:v>2R</x:v>
      </x:c>
      <x:c r="H20" s="11" t="str">
        <x:f>IF(ISNUMBER(Evidence!D412),Evidence!D412&amp;Evidence!E412,Evidence!D412)</x:f>
        <x:v>2R</x:v>
      </x:c>
    </x:row>
    <x:row r="21" ht="28.5" customHeight="1">
      <x:c r="A21" s="3" t="str">
        <x:v>CREWAI</x:v>
      </x:c>
      <x:c r="B21" s="3" t="str">
        <x:v>CrewAI</x:v>
      </x:c>
      <x:c r="C21" s="11" t="str">
        <x:f>IF(ISNUMBER(Evidence!D433),Evidence!D433&amp;Evidence!E433,Evidence!D433)</x:f>
        <x:v>2R</x:v>
      </x:c>
      <x:c r="D21" s="11" t="str">
        <x:f>IF(ISNUMBER(Evidence!D434),Evidence!D434&amp;Evidence!E434,Evidence!D434)</x:f>
        <x:v>U</x:v>
      </x:c>
      <x:c r="E21" s="11" t="str">
        <x:f>IF(ISNUMBER(Evidence!D435),Evidence!D435&amp;Evidence!E435,Evidence!D435)</x:f>
        <x:v>1R</x:v>
      </x:c>
      <x:c r="F21" s="11" t="str">
        <x:f>IF(ISNUMBER(Evidence!D436),Evidence!D436&amp;Evidence!E436,Evidence!D436)</x:f>
        <x:v>1R</x:v>
      </x:c>
      <x:c r="G21" s="11" t="str">
        <x:f>IF(ISNUMBER(Evidence!D437),Evidence!D437&amp;Evidence!E437,Evidence!D437)</x:f>
        <x:v>2R</x:v>
      </x:c>
      <x:c r="H21" s="11" t="str">
        <x:f>IF(ISNUMBER(Evidence!D438),Evidence!D438&amp;Evidence!E438,Evidence!D438)</x:f>
        <x:v>1G</x:v>
      </x:c>
    </x:row>
    <x:row r="22" ht="28.5" customHeight="1">
      <x:c r="A22" s="3" t="str">
        <x:v>PYDANTIC</x:v>
      </x:c>
      <x:c r="B22" s="3" t="str">
        <x:v>Pydantic AI</x:v>
      </x:c>
      <x:c r="C22" s="11" t="str">
        <x:f>IF(ISNUMBER(Evidence!D459),Evidence!D459&amp;Evidence!E459,Evidence!D459)</x:f>
        <x:v>2R</x:v>
      </x:c>
      <x:c r="D22" s="11" t="str">
        <x:f>IF(ISNUMBER(Evidence!D460),Evidence!D460&amp;Evidence!E460,Evidence!D460)</x:f>
        <x:v>U</x:v>
      </x:c>
      <x:c r="E22" s="11" t="str">
        <x:f>IF(ISNUMBER(Evidence!D461),Evidence!D461&amp;Evidence!E461,Evidence!D461)</x:f>
        <x:v>2R</x:v>
      </x:c>
      <x:c r="F22" s="11" t="str">
        <x:f>IF(ISNUMBER(Evidence!D462),Evidence!D462&amp;Evidence!E462,Evidence!D462)</x:f>
        <x:v>1R</x:v>
      </x:c>
      <x:c r="G22" s="11" t="str">
        <x:f>IF(ISNUMBER(Evidence!D463),Evidence!D463&amp;Evidence!E463,Evidence!D463)</x:f>
        <x:v>2R</x:v>
      </x:c>
      <x:c r="H22" s="11" t="str">
        <x:f>IF(ISNUMBER(Evidence!D464),Evidence!D464&amp;Evidence!E464,Evidence!D464)</x:f>
        <x:v>2R</x:v>
      </x:c>
    </x:row>
  </x:sheetData>
  <x:mergeCells>
    <x:mergeCell ref="A1:H1"/>
    <x:mergeCell ref="A2:H2"/>
  </x:mergeCells>
  <x:conditionalFormatting sqref="C5:H22">
    <x:cfRule type="cellIs" dxfId="44" priority="1" operator="equal">
      <x:formula>"3D"</x:formula>
    </x:cfRule>
    <x:cfRule type="cellIs" dxfId="45" priority="2" operator="equal">
      <x:formula>"3R"</x:formula>
    </x:cfRule>
    <x:cfRule type="cellIs" dxfId="46" priority="3" operator="equal">
      <x:formula>"3G"</x:formula>
    </x:cfRule>
    <x:cfRule type="cellIs" dxfId="47" priority="4" operator="equal">
      <x:formula>"3L"</x:formula>
    </x:cfRule>
    <x:cfRule type="cellIs" dxfId="48" priority="5" operator="equal">
      <x:formula>"3P"</x:formula>
    </x:cfRule>
    <x:cfRule type="cellIs" dxfId="49" priority="6" operator="equal">
      <x:formula>"2D"</x:formula>
    </x:cfRule>
    <x:cfRule type="cellIs" dxfId="50" priority="7" operator="equal">
      <x:formula>"2R"</x:formula>
    </x:cfRule>
    <x:cfRule type="cellIs" dxfId="51" priority="8" operator="equal">
      <x:formula>"2G"</x:formula>
    </x:cfRule>
    <x:cfRule type="cellIs" dxfId="52" priority="9" operator="equal">
      <x:formula>"2L"</x:formula>
    </x:cfRule>
    <x:cfRule type="cellIs" dxfId="53" priority="10" operator="equal">
      <x:formula>"2P"</x:formula>
    </x:cfRule>
    <x:cfRule type="cellIs" dxfId="54" priority="11" operator="equal">
      <x:formula>"1D"</x:formula>
    </x:cfRule>
    <x:cfRule type="cellIs" dxfId="55" priority="12" operator="equal">
      <x:formula>"1R"</x:formula>
    </x:cfRule>
    <x:cfRule type="cellIs" dxfId="56" priority="13" operator="equal">
      <x:formula>"1G"</x:formula>
    </x:cfRule>
    <x:cfRule type="cellIs" dxfId="57" priority="14" operator="equal">
      <x:formula>"1L"</x:formula>
    </x:cfRule>
    <x:cfRule type="cellIs" dxfId="58" priority="15" operator="equal">
      <x:formula>"1P"</x:formula>
    </x:cfRule>
    <x:cfRule type="cellIs" dxfId="59" priority="16" operator="equal">
      <x:formula>"0D"</x:formula>
    </x:cfRule>
    <x:cfRule type="cellIs" dxfId="60" priority="17" operator="equal">
      <x:formula>"0R"</x:formula>
    </x:cfRule>
    <x:cfRule type="cellIs" dxfId="61" priority="18" operator="equal">
      <x:formula>"0G"</x:formula>
    </x:cfRule>
    <x:cfRule type="cellIs" dxfId="62" priority="19" operator="equal">
      <x:formula>"0L"</x:formula>
    </x:cfRule>
    <x:cfRule type="cellIs" dxfId="63" priority="20" operator="equal">
      <x:formula>"0P"</x:formula>
    </x:cfRule>
    <x:cfRule type="cellIs" dxfId="64" priority="21" operator="equal">
      <x:formula>"U"</x:formula>
    </x:cfRule>
    <x:cfRule type="cellIs" dxfId="65" priority="22" operator="equal">
      <x:formula>"NA"</x:formula>
    </x:cfRule>
  </x:conditionalFormatting>
  <x:pageMargins left="0.7" right="0.7" top="0.75" bottom="0.75" header="0.3" footer="0.3"/>
  <x:tableParts count="1">
    <x:tablePart xmlns:r="http://schemas.openxmlformats.org/officeDocument/2006/relationships" r:id="Rbee2957522bf4221"/>
  </x:tableParts>
</x:worksheet>
</file>

<file path=xl/worksheets/sheet6.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3.890000343322754" hidden="0" customWidth="1"/>
    <x:col min="2" max="2" width="33.33000183105469" hidden="0" customWidth="1"/>
    <x:col min="3" max="3" width="17.780000686645508" hidden="0" customWidth="1"/>
    <x:col min="4" max="4" width="17.780000686645508" hidden="0" customWidth="1"/>
    <x:col min="5" max="5" width="17.780000686645508" hidden="0" customWidth="1"/>
    <x:col min="6" max="6" width="17.780000686645508" hidden="0" customWidth="1"/>
    <x:col min="7" max="7" width="17.780000686645508" hidden="0" customWidth="1"/>
    <x:col min="8" max="8" width="17.780000686645508" hidden="0" customWidth="1"/>
  </x:cols>
  <x:sheetData>
    <x:row r="1" ht="25.5" customHeight="1">
      <x:c r="A1" s="4" t="str">
        <x:v>Use and evidence — comparison grid</x:v>
      </x:c>
      <x:c r="B1" s="4"/>
      <x:c r="C1" s="4"/>
      <x:c r="D1" s="4"/>
      <x:c r="E1" s="4"/>
      <x:c r="F1" s="4"/>
      <x:c r="G1" s="4"/>
      <x:c r="H1" s="4"/>
    </x:row>
    <x:row r="2" ht="31.5" customHeight="1">
      <x:c r="A2" s="5" t="str">
        <x:v>0–3 = documented coverage; D rule, R API, G guidance, L local, P public measurement. U unknown; NA outside purpose. No sum or rank.</x:v>
      </x:c>
      <x:c r="B2" s="5"/>
      <x:c r="C2" s="5"/>
      <x:c r="D2" s="5"/>
      <x:c r="E2" s="5"/>
      <x:c r="F2" s="5"/>
      <x:c r="G2" s="5"/>
      <x:c r="H2" s="5"/>
    </x:row>
    <x:row r="3" ht="7.5" customHeight="1">
      <x:c r="A3" s="3"/>
      <x:c r="B3" s="3"/>
      <x:c r="C3" s="3"/>
      <x:c r="D3" s="3"/>
      <x:c r="E3" s="3"/>
      <x:c r="F3" s="3"/>
      <x:c r="G3" s="3"/>
      <x:c r="H3" s="3"/>
    </x:row>
    <x:row r="4" ht="72" customHeight="1">
      <x:c r="A4" s="8" t="str">
        <x:v>Entry</x:v>
      </x:c>
      <x:c r="B4" s="8" t="str">
        <x:v>Candidate</x:v>
      </x:c>
      <x:c r="C4" s="8" t="str">
        <x:v>C19
Onboarding and ordinary first use</x:v>
      </x:c>
      <x:c r="D4" s="8" t="str">
        <x:v>C20
Native reusable context and portability</x:v>
      </x:c>
      <x:c r="E4" s="8" t="str">
        <x:v>C21
Evaluation and feedback integration</x:v>
      </x:c>
      <x:c r="F4" s="8" t="str">
        <x:v>C22
Complete cost and resource observability</x:v>
      </x:c>
      <x:c r="G4" s="8" t="str">
        <x:v>C23
Scoped effectiveness evidence</x:v>
      </x:c>
      <x:c r="H4" s="8" t="str">
        <x:v>C24
Method self-qualification and usable fidelity</x:v>
      </x:c>
    </x:row>
    <x:row r="5" ht="28.5" customHeight="1">
      <x:c r="A5" s="3" t="str">
        <x:v>ST25</x:v>
      </x:c>
      <x:c r="B5" s="3" t="str">
        <x:v>STDO 2.5.1-rc.2</x:v>
      </x:c>
      <x:c r="C5" s="11" t="str">
        <x:f>IF(ISNUMBER(Evidence!D23),Evidence!D23&amp;Evidence!E23,Evidence!D23)</x:f>
        <x:v>2G</x:v>
      </x:c>
      <x:c r="D5" s="11" t="str">
        <x:f>IF(ISNUMBER(Evidence!D24),Evidence!D24&amp;Evidence!E24,Evidence!D24)</x:f>
        <x:v>2D</x:v>
      </x:c>
      <x:c r="E5" s="11" t="str">
        <x:f>IF(ISNUMBER(Evidence!D25),Evidence!D25&amp;Evidence!E25,Evidence!D25)</x:f>
        <x:v>2D</x:v>
      </x:c>
      <x:c r="F5" s="11" t="str">
        <x:f>IF(ISNUMBER(Evidence!D26),Evidence!D26&amp;Evidence!E26,Evidence!D26)</x:f>
        <x:v>1D</x:v>
      </x:c>
      <x:c r="G5" s="11" t="str">
        <x:f>IF(ISNUMBER(Evidence!D27),Evidence!D27&amp;Evidence!E27,Evidence!D27)</x:f>
        <x:v>U</x:v>
      </x:c>
      <x:c r="H5" s="11" t="str">
        <x:f>IF(ISNUMBER(Evidence!D28),Evidence!D28&amp;Evidence!E28,Evidence!D28)</x:f>
        <x:v>3D</x:v>
      </x:c>
    </x:row>
    <x:row r="6" ht="28.5" customHeight="1">
      <x:c r="A6" s="3" t="str">
        <x:v>ST3C</x:v>
      </x:c>
      <x:c r="B6" s="3" t="str">
        <x:v>STDO v3 — Claude candidate</x:v>
      </x:c>
      <x:c r="C6" s="11" t="str">
        <x:f>IF(ISNUMBER(Evidence!D49),Evidence!D49&amp;Evidence!E49,Evidence!D49)</x:f>
        <x:v>2G</x:v>
      </x:c>
      <x:c r="D6" s="11" t="str">
        <x:f>IF(ISNUMBER(Evidence!D50),Evidence!D50&amp;Evidence!E50,Evidence!D50)</x:f>
        <x:v>2D</x:v>
      </x:c>
      <x:c r="E6" s="11" t="str">
        <x:f>IF(ISNUMBER(Evidence!D51),Evidence!D51&amp;Evidence!E51,Evidence!D51)</x:f>
        <x:v>2L</x:v>
      </x:c>
      <x:c r="F6" s="11" t="str">
        <x:f>IF(ISNUMBER(Evidence!D52),Evidence!D52&amp;Evidence!E52,Evidence!D52)</x:f>
        <x:v>2L</x:v>
      </x:c>
      <x:c r="G6" s="11" t="str">
        <x:f>IF(ISNUMBER(Evidence!D53),Evidence!D53&amp;Evidence!E53,Evidence!D53)</x:f>
        <x:v>U</x:v>
      </x:c>
      <x:c r="H6" s="11" t="str">
        <x:f>IF(ISNUMBER(Evidence!D54),Evidence!D54&amp;Evidence!E54,Evidence!D54)</x:f>
        <x:v>3D</x:v>
      </x:c>
    </x:row>
    <x:row r="7" ht="28.5" customHeight="1">
      <x:c r="A7" s="3" t="str">
        <x:v>ST3X</x:v>
      </x:c>
      <x:c r="B7" s="3" t="str">
        <x:v>STDO v3 — Codex candidate</x:v>
      </x:c>
      <x:c r="C7" s="11" t="str">
        <x:f>IF(ISNUMBER(Evidence!D75),Evidence!D75&amp;Evidence!E75,Evidence!D75)</x:f>
        <x:v>2G</x:v>
      </x:c>
      <x:c r="D7" s="11" t="str">
        <x:f>IF(ISNUMBER(Evidence!D76),Evidence!D76&amp;Evidence!E76,Evidence!D76)</x:f>
        <x:v>2D</x:v>
      </x:c>
      <x:c r="E7" s="11" t="str">
        <x:f>IF(ISNUMBER(Evidence!D77),Evidence!D77&amp;Evidence!E77,Evidence!D77)</x:f>
        <x:v>2L</x:v>
      </x:c>
      <x:c r="F7" s="11" t="str">
        <x:f>IF(ISNUMBER(Evidence!D78),Evidence!D78&amp;Evidence!E78,Evidence!D78)</x:f>
        <x:v>1L</x:v>
      </x:c>
      <x:c r="G7" s="11" t="str">
        <x:f>IF(ISNUMBER(Evidence!D79),Evidence!D79&amp;Evidence!E79,Evidence!D79)</x:f>
        <x:v>1L</x:v>
      </x:c>
      <x:c r="H7" s="11" t="str">
        <x:f>IF(ISNUMBER(Evidence!D80),Evidence!D80&amp;Evidence!E80,Evidence!D80)</x:f>
        <x:v>3D</x:v>
      </x:c>
    </x:row>
    <x:row r="8" ht="28.5" customHeight="1">
      <x:c r="A8" s="3" t="str">
        <x:v>SPECKIT</x:v>
      </x:c>
      <x:c r="B8" s="3" t="str">
        <x:v>GitHub Spec Kit</x:v>
      </x:c>
      <x:c r="C8" s="11" t="str">
        <x:f>IF(ISNUMBER(Evidence!D101),Evidence!D101&amp;Evidence!E101,Evidence!D101)</x:f>
        <x:v>3G</x:v>
      </x:c>
      <x:c r="D8" s="11" t="str">
        <x:f>IF(ISNUMBER(Evidence!D102),Evidence!D102&amp;Evidence!E102,Evidence!D102)</x:f>
        <x:v>3R</x:v>
      </x:c>
      <x:c r="E8" s="11" t="str">
        <x:f>IF(ISNUMBER(Evidence!D103),Evidence!D103&amp;Evidence!E103,Evidence!D103)</x:f>
        <x:v>2D</x:v>
      </x:c>
      <x:c r="F8" s="11" t="str">
        <x:f>IF(ISNUMBER(Evidence!D104),Evidence!D104&amp;Evidence!E104,Evidence!D104)</x:f>
        <x:v>U</x:v>
      </x:c>
      <x:c r="G8" s="11" t="str">
        <x:f>IF(ISNUMBER(Evidence!D105),Evidence!D105&amp;Evidence!E105,Evidence!D105)</x:f>
        <x:v>U</x:v>
      </x:c>
      <x:c r="H8" s="11" t="str">
        <x:f>IF(ISNUMBER(Evidence!D106),Evidence!D106&amp;Evidence!E106,Evidence!D106)</x:f>
        <x:v>U</x:v>
      </x:c>
    </x:row>
    <x:row r="9" ht="28.5" customHeight="1">
      <x:c r="A9" s="3" t="str">
        <x:v>BMAD</x:v>
      </x:c>
      <x:c r="B9" s="3" t="str">
        <x:v>BMad Method v6.12.2</x:v>
      </x:c>
      <x:c r="C9" s="11" t="str">
        <x:f>IF(ISNUMBER(Evidence!D127),Evidence!D127&amp;Evidence!E127,Evidence!D127)</x:f>
        <x:v>3G</x:v>
      </x:c>
      <x:c r="D9" s="11" t="str">
        <x:f>IF(ISNUMBER(Evidence!D128),Evidence!D128&amp;Evidence!E128,Evidence!D128)</x:f>
        <x:v>3D</x:v>
      </x:c>
      <x:c r="E9" s="11" t="str">
        <x:f>IF(ISNUMBER(Evidence!D129),Evidence!D129&amp;Evidence!E129,Evidence!D129)</x:f>
        <x:v>2D</x:v>
      </x:c>
      <x:c r="F9" s="11" t="str">
        <x:f>IF(ISNUMBER(Evidence!D130),Evidence!D130&amp;Evidence!E130,Evidence!D130)</x:f>
        <x:v>U</x:v>
      </x:c>
      <x:c r="G9" s="11" t="str">
        <x:f>IF(ISNUMBER(Evidence!D131),Evidence!D131&amp;Evidence!E131,Evidence!D131)</x:f>
        <x:v>U</x:v>
      </x:c>
      <x:c r="H9" s="11" t="str">
        <x:f>IF(ISNUMBER(Evidence!D132),Evidence!D132&amp;Evidence!E132,Evidence!D132)</x:f>
        <x:v>U</x:v>
      </x:c>
    </x:row>
    <x:row r="10" ht="28.5" customHeight="1">
      <x:c r="A10" s="3" t="str">
        <x:v>OPENSPEC</x:v>
      </x:c>
      <x:c r="B10" s="3" t="str">
        <x:v>Fission AI OpenSpec</x:v>
      </x:c>
      <x:c r="C10" s="11" t="str">
        <x:f>IF(ISNUMBER(Evidence!D153),Evidence!D153&amp;Evidence!E153,Evidence!D153)</x:f>
        <x:v>3G</x:v>
      </x:c>
      <x:c r="D10" s="11" t="str">
        <x:f>IF(ISNUMBER(Evidence!D154),Evidence!D154&amp;Evidence!E154,Evidence!D154)</x:f>
        <x:v>3R</x:v>
      </x:c>
      <x:c r="E10" s="11" t="str">
        <x:f>IF(ISNUMBER(Evidence!D155),Evidence!D155&amp;Evidence!E155,Evidence!D155)</x:f>
        <x:v>2D</x:v>
      </x:c>
      <x:c r="F10" s="11" t="str">
        <x:f>IF(ISNUMBER(Evidence!D156),Evidence!D156&amp;Evidence!E156,Evidence!D156)</x:f>
        <x:v>U</x:v>
      </x:c>
      <x:c r="G10" s="11" t="str">
        <x:f>IF(ISNUMBER(Evidence!D157),Evidence!D157&amp;Evidence!E157,Evidence!D157)</x:f>
        <x:v>U</x:v>
      </x:c>
      <x:c r="H10" s="11" t="str">
        <x:f>IF(ISNUMBER(Evidence!D158),Evidence!D158&amp;Evidence!E158,Evidence!D158)</x:f>
        <x:v>1G</x:v>
      </x:c>
    </x:row>
    <x:row r="11" ht="28.5" customHeight="1">
      <x:c r="A11" s="3" t="str">
        <x:v>CODEX</x:v>
      </x:c>
      <x:c r="B11" s="3" t="str">
        <x:v>OpenAI Codex</x:v>
      </x:c>
      <x:c r="C11" s="11" t="str">
        <x:f>IF(ISNUMBER(Evidence!D179),Evidence!D179&amp;Evidence!E179,Evidence!D179)</x:f>
        <x:v>3G</x:v>
      </x:c>
      <x:c r="D11" s="11" t="str">
        <x:f>IF(ISNUMBER(Evidence!D180),Evidence!D180&amp;Evidence!E180,Evidence!D180)</x:f>
        <x:v>3R</x:v>
      </x:c>
      <x:c r="E11" s="11" t="str">
        <x:f>IF(ISNUMBER(Evidence!D181),Evidence!D181&amp;Evidence!E181,Evidence!D181)</x:f>
        <x:v>2G</x:v>
      </x:c>
      <x:c r="F11" s="11" t="str">
        <x:f>IF(ISNUMBER(Evidence!D182),Evidence!D182&amp;Evidence!E182,Evidence!D182)</x:f>
        <x:v>2R</x:v>
      </x:c>
      <x:c r="G11" s="11" t="str">
        <x:f>IF(ISNUMBER(Evidence!D183),Evidence!D183&amp;Evidence!E183,Evidence!D183)</x:f>
        <x:v>U</x:v>
      </x:c>
      <x:c r="H11" s="11" t="str">
        <x:f>IF(ISNUMBER(Evidence!D184),Evidence!D184&amp;Evidence!E184,Evidence!D184)</x:f>
        <x:v>U</x:v>
      </x:c>
    </x:row>
    <x:row r="12" ht="28.5" customHeight="1">
      <x:c r="A12" s="3" t="str">
        <x:v>CLAUDE</x:v>
      </x:c>
      <x:c r="B12" s="3" t="str">
        <x:v>Anthropic Claude Code</x:v>
      </x:c>
      <x:c r="C12" s="11" t="str">
        <x:f>IF(ISNUMBER(Evidence!D205),Evidence!D205&amp;Evidence!E205,Evidence!D205)</x:f>
        <x:v>3G</x:v>
      </x:c>
      <x:c r="D12" s="11" t="str">
        <x:f>IF(ISNUMBER(Evidence!D206),Evidence!D206&amp;Evidence!E206,Evidence!D206)</x:f>
        <x:v>3R</x:v>
      </x:c>
      <x:c r="E12" s="11" t="str">
        <x:f>IF(ISNUMBER(Evidence!D207),Evidence!D207&amp;Evidence!E207,Evidence!D207)</x:f>
        <x:v>2R</x:v>
      </x:c>
      <x:c r="F12" s="11" t="str">
        <x:f>IF(ISNUMBER(Evidence!D208),Evidence!D208&amp;Evidence!E208,Evidence!D208)</x:f>
        <x:v>2R</x:v>
      </x:c>
      <x:c r="G12" s="11" t="str">
        <x:f>IF(ISNUMBER(Evidence!D209),Evidence!D209&amp;Evidence!E209,Evidence!D209)</x:f>
        <x:v>U</x:v>
      </x:c>
      <x:c r="H12" s="11" t="str">
        <x:f>IF(ISNUMBER(Evidence!D210),Evidence!D210&amp;Evidence!E210,Evidence!D210)</x:f>
        <x:v>U</x:v>
      </x:c>
    </x:row>
    <x:row r="13" ht="28.5" customHeight="1">
      <x:c r="A13" s="3" t="str">
        <x:v>GEMINI</x:v>
      </x:c>
      <x:c r="B13" s="3" t="str">
        <x:v>Google Gemini CLI</x:v>
      </x:c>
      <x:c r="C13" s="11" t="str">
        <x:f>IF(ISNUMBER(Evidence!D231),Evidence!D231&amp;Evidence!E231,Evidence!D231)</x:f>
        <x:v>3G</x:v>
      </x:c>
      <x:c r="D13" s="11" t="str">
        <x:f>IF(ISNUMBER(Evidence!D232),Evidence!D232&amp;Evidence!E232,Evidence!D232)</x:f>
        <x:v>3R</x:v>
      </x:c>
      <x:c r="E13" s="11" t="str">
        <x:f>IF(ISNUMBER(Evidence!D233),Evidence!D233&amp;Evidence!E233,Evidence!D233)</x:f>
        <x:v>1R</x:v>
      </x:c>
      <x:c r="F13" s="11" t="str">
        <x:f>IF(ISNUMBER(Evidence!D234),Evidence!D234&amp;Evidence!E234,Evidence!D234)</x:f>
        <x:v>2R</x:v>
      </x:c>
      <x:c r="G13" s="11" t="str">
        <x:f>IF(ISNUMBER(Evidence!D235),Evidence!D235&amp;Evidence!E235,Evidence!D235)</x:f>
        <x:v>U</x:v>
      </x:c>
      <x:c r="H13" s="11" t="str">
        <x:f>IF(ISNUMBER(Evidence!D236),Evidence!D236&amp;Evidence!E236,Evidence!D236)</x:f>
        <x:v>U</x:v>
      </x:c>
    </x:row>
    <x:row r="14" ht="28.5" customHeight="1">
      <x:c r="A14" s="3" t="str">
        <x:v>QWEN</x:v>
      </x:c>
      <x:c r="B14" s="3" t="str">
        <x:v>Qwen Code</x:v>
      </x:c>
      <x:c r="C14" s="11" t="str">
        <x:f>IF(ISNUMBER(Evidence!D257),Evidence!D257&amp;Evidence!E257,Evidence!D257)</x:f>
        <x:v>3G</x:v>
      </x:c>
      <x:c r="D14" s="11" t="str">
        <x:f>IF(ISNUMBER(Evidence!D258),Evidence!D258&amp;Evidence!E258,Evidence!D258)</x:f>
        <x:v>3R</x:v>
      </x:c>
      <x:c r="E14" s="11" t="str">
        <x:f>IF(ISNUMBER(Evidence!D259),Evidence!D259&amp;Evidence!E259,Evidence!D259)</x:f>
        <x:v>3R</x:v>
      </x:c>
      <x:c r="F14" s="11" t="str">
        <x:f>IF(ISNUMBER(Evidence!D260),Evidence!D260&amp;Evidence!E260,Evidence!D260)</x:f>
        <x:v>2R</x:v>
      </x:c>
      <x:c r="G14" s="11" t="str">
        <x:f>IF(ISNUMBER(Evidence!D261),Evidence!D261&amp;Evidence!E261,Evidence!D261)</x:f>
        <x:v>2P</x:v>
      </x:c>
      <x:c r="H14" s="11" t="str">
        <x:f>IF(ISNUMBER(Evidence!D262),Evidence!D262&amp;Evidence!E262,Evidence!D262)</x:f>
        <x:v>2R</x:v>
      </x:c>
    </x:row>
    <x:row r="15" ht="28.5" customHeight="1">
      <x:c r="A15" s="3" t="str">
        <x:v>OASDK</x:v>
      </x:c>
      <x:c r="B15" s="3" t="str">
        <x:v>OpenAI Agents SDK</x:v>
      </x:c>
      <x:c r="C15" s="11" t="str">
        <x:f>IF(ISNUMBER(Evidence!D283),Evidence!D283&amp;Evidence!E283,Evidence!D283)</x:f>
        <x:v>3G</x:v>
      </x:c>
      <x:c r="D15" s="11" t="str">
        <x:f>IF(ISNUMBER(Evidence!D284),Evidence!D284&amp;Evidence!E284,Evidence!D284)</x:f>
        <x:v>2R</x:v>
      </x:c>
      <x:c r="E15" s="11" t="str">
        <x:f>IF(ISNUMBER(Evidence!D285),Evidence!D285&amp;Evidence!E285,Evidence!D285)</x:f>
        <x:v>2R</x:v>
      </x:c>
      <x:c r="F15" s="11" t="str">
        <x:f>IF(ISNUMBER(Evidence!D286),Evidence!D286&amp;Evidence!E286,Evidence!D286)</x:f>
        <x:v>1R</x:v>
      </x:c>
      <x:c r="G15" s="11" t="str">
        <x:f>IF(ISNUMBER(Evidence!D287),Evidence!D287&amp;Evidence!E287,Evidence!D287)</x:f>
        <x:v>U</x:v>
      </x:c>
      <x:c r="H15" s="11" t="str">
        <x:f>IF(ISNUMBER(Evidence!D288),Evidence!D288&amp;Evidence!E288,Evidence!D288)</x:f>
        <x:v>U</x:v>
      </x:c>
    </x:row>
    <x:row r="16" ht="28.5" customHeight="1">
      <x:c r="A16" s="3" t="str">
        <x:v>CASDK</x:v>
      </x:c>
      <x:c r="B16" s="3" t="str">
        <x:v>Anthropic Claude Agent SDK</x:v>
      </x:c>
      <x:c r="C16" s="11" t="str">
        <x:f>IF(ISNUMBER(Evidence!D309),Evidence!D309&amp;Evidence!E309,Evidence!D309)</x:f>
        <x:v>3G</x:v>
      </x:c>
      <x:c r="D16" s="11" t="str">
        <x:f>IF(ISNUMBER(Evidence!D310),Evidence!D310&amp;Evidence!E310,Evidence!D310)</x:f>
        <x:v>3R</x:v>
      </x:c>
      <x:c r="E16" s="11" t="str">
        <x:f>IF(ISNUMBER(Evidence!D311),Evidence!D311&amp;Evidence!E311,Evidence!D311)</x:f>
        <x:v>1R</x:v>
      </x:c>
      <x:c r="F16" s="11" t="str">
        <x:f>IF(ISNUMBER(Evidence!D312),Evidence!D312&amp;Evidence!E312,Evidence!D312)</x:f>
        <x:v>2R</x:v>
      </x:c>
      <x:c r="G16" s="11" t="str">
        <x:f>IF(ISNUMBER(Evidence!D313),Evidence!D313&amp;Evidence!E313,Evidence!D313)</x:f>
        <x:v>U</x:v>
      </x:c>
      <x:c r="H16" s="11" t="str">
        <x:f>IF(ISNUMBER(Evidence!D314),Evidence!D314&amp;Evidence!E314,Evidence!D314)</x:f>
        <x:v>U</x:v>
      </x:c>
    </x:row>
    <x:row r="17" ht="28.5" customHeight="1">
      <x:c r="A17" s="3" t="str">
        <x:v>ADK</x:v>
      </x:c>
      <x:c r="B17" s="3" t="str">
        <x:v>Google Agent Development Kit</x:v>
      </x:c>
      <x:c r="C17" s="11" t="str">
        <x:f>IF(ISNUMBER(Evidence!D335),Evidence!D335&amp;Evidence!E335,Evidence!D335)</x:f>
        <x:v>3G</x:v>
      </x:c>
      <x:c r="D17" s="11" t="str">
        <x:f>IF(ISNUMBER(Evidence!D336),Evidence!D336&amp;Evidence!E336,Evidence!D336)</x:f>
        <x:v>2R</x:v>
      </x:c>
      <x:c r="E17" s="11" t="str">
        <x:f>IF(ISNUMBER(Evidence!D337),Evidence!D337&amp;Evidence!E337,Evidence!D337)</x:f>
        <x:v>3R</x:v>
      </x:c>
      <x:c r="F17" s="11" t="str">
        <x:f>IF(ISNUMBER(Evidence!D338),Evidence!D338&amp;Evidence!E338,Evidence!D338)</x:f>
        <x:v>2R</x:v>
      </x:c>
      <x:c r="G17" s="11" t="str">
        <x:f>IF(ISNUMBER(Evidence!D339),Evidence!D339&amp;Evidence!E339,Evidence!D339)</x:f>
        <x:v>U</x:v>
      </x:c>
      <x:c r="H17" s="11" t="str">
        <x:f>IF(ISNUMBER(Evidence!D340),Evidence!D340&amp;Evidence!E340,Evidence!D340)</x:f>
        <x:v>U</x:v>
      </x:c>
    </x:row>
    <x:row r="18" ht="28.5" customHeight="1">
      <x:c r="A18" s="3" t="str">
        <x:v>OPENHANDS</x:v>
      </x:c>
      <x:c r="B18" s="3" t="str">
        <x:v>OpenHands Software Agent SDK</x:v>
      </x:c>
      <x:c r="C18" s="11" t="str">
        <x:f>IF(ISNUMBER(Evidence!D361),Evidence!D361&amp;Evidence!E361,Evidence!D361)</x:f>
        <x:v>3G</x:v>
      </x:c>
      <x:c r="D18" s="11" t="str">
        <x:f>IF(ISNUMBER(Evidence!D362),Evidence!D362&amp;Evidence!E362,Evidence!D362)</x:f>
        <x:v>3R</x:v>
      </x:c>
      <x:c r="E18" s="11" t="str">
        <x:f>IF(ISNUMBER(Evidence!D363),Evidence!D363&amp;Evidence!E363,Evidence!D363)</x:f>
        <x:v>3R</x:v>
      </x:c>
      <x:c r="F18" s="11" t="str">
        <x:f>IF(ISNUMBER(Evidence!D364),Evidence!D364&amp;Evidence!E364,Evidence!D364)</x:f>
        <x:v>2R</x:v>
      </x:c>
      <x:c r="G18" s="11" t="str">
        <x:f>IF(ISNUMBER(Evidence!D365),Evidence!D365&amp;Evidence!E365,Evidence!D365)</x:f>
        <x:v>2P</x:v>
      </x:c>
      <x:c r="H18" s="11" t="str">
        <x:f>IF(ISNUMBER(Evidence!D366),Evidence!D366&amp;Evidence!E366,Evidence!D366)</x:f>
        <x:v>1P</x:v>
      </x:c>
    </x:row>
    <x:row r="19" ht="28.5" customHeight="1">
      <x:c r="A19" s="3" t="str">
        <x:v>LANGGRAPH</x:v>
      </x:c>
      <x:c r="B19" s="3" t="str">
        <x:v>LangGraph</x:v>
      </x:c>
      <x:c r="C19" s="11" t="str">
        <x:f>IF(ISNUMBER(Evidence!D387),Evidence!D387&amp;Evidence!E387,Evidence!D387)</x:f>
        <x:v>3G</x:v>
      </x:c>
      <x:c r="D19" s="11" t="str">
        <x:f>IF(ISNUMBER(Evidence!D388),Evidence!D388&amp;Evidence!E388,Evidence!D388)</x:f>
        <x:v>2R</x:v>
      </x:c>
      <x:c r="E19" s="11" t="str">
        <x:f>IF(ISNUMBER(Evidence!D389),Evidence!D389&amp;Evidence!E389,Evidence!D389)</x:f>
        <x:v>2R</x:v>
      </x:c>
      <x:c r="F19" s="11" t="str">
        <x:f>IF(ISNUMBER(Evidence!D390),Evidence!D390&amp;Evidence!E390,Evidence!D390)</x:f>
        <x:v>1R</x:v>
      </x:c>
      <x:c r="G19" s="11" t="str">
        <x:f>IF(ISNUMBER(Evidence!D391),Evidence!D391&amp;Evidence!E391,Evidence!D391)</x:f>
        <x:v>U</x:v>
      </x:c>
      <x:c r="H19" s="11" t="str">
        <x:f>IF(ISNUMBER(Evidence!D392),Evidence!D392&amp;Evidence!E392,Evidence!D392)</x:f>
        <x:v>U</x:v>
      </x:c>
    </x:row>
    <x:row r="20" ht="28.5" customHeight="1">
      <x:c r="A20" s="3" t="str">
        <x:v>MAF</x:v>
      </x:c>
      <x:c r="B20" s="3" t="str">
        <x:v>Microsoft Agent Framework</x:v>
      </x:c>
      <x:c r="C20" s="11" t="str">
        <x:f>IF(ISNUMBER(Evidence!D413),Evidence!D413&amp;Evidence!E413,Evidence!D413)</x:f>
        <x:v>3G</x:v>
      </x:c>
      <x:c r="D20" s="11" t="str">
        <x:f>IF(ISNUMBER(Evidence!D414),Evidence!D414&amp;Evidence!E414,Evidence!D414)</x:f>
        <x:v>3R</x:v>
      </x:c>
      <x:c r="E20" s="11" t="str">
        <x:f>IF(ISNUMBER(Evidence!D415),Evidence!D415&amp;Evidence!E415,Evidence!D415)</x:f>
        <x:v>3R</x:v>
      </x:c>
      <x:c r="F20" s="11" t="str">
        <x:f>IF(ISNUMBER(Evidence!D416),Evidence!D416&amp;Evidence!E416,Evidence!D416)</x:f>
        <x:v>2R</x:v>
      </x:c>
      <x:c r="G20" s="11" t="str">
        <x:f>IF(ISNUMBER(Evidence!D417),Evidence!D417&amp;Evidence!E417,Evidence!D417)</x:f>
        <x:v>U</x:v>
      </x:c>
      <x:c r="H20" s="11" t="str">
        <x:f>IF(ISNUMBER(Evidence!D418),Evidence!D418&amp;Evidence!E418,Evidence!D418)</x:f>
        <x:v>U</x:v>
      </x:c>
    </x:row>
    <x:row r="21" ht="28.5" customHeight="1">
      <x:c r="A21" s="3" t="str">
        <x:v>CREWAI</x:v>
      </x:c>
      <x:c r="B21" s="3" t="str">
        <x:v>CrewAI</x:v>
      </x:c>
      <x:c r="C21" s="11" t="str">
        <x:f>IF(ISNUMBER(Evidence!D439),Evidence!D439&amp;Evidence!E439,Evidence!D439)</x:f>
        <x:v>3G</x:v>
      </x:c>
      <x:c r="D21" s="11" t="str">
        <x:f>IF(ISNUMBER(Evidence!D440),Evidence!D440&amp;Evidence!E440,Evidence!D440)</x:f>
        <x:v>3R</x:v>
      </x:c>
      <x:c r="E21" s="11" t="str">
        <x:f>IF(ISNUMBER(Evidence!D441),Evidence!D441&amp;Evidence!E441,Evidence!D441)</x:f>
        <x:v>2R</x:v>
      </x:c>
      <x:c r="F21" s="11" t="str">
        <x:f>IF(ISNUMBER(Evidence!D442),Evidence!D442&amp;Evidence!E442,Evidence!D442)</x:f>
        <x:v>2R</x:v>
      </x:c>
      <x:c r="G21" s="11" t="str">
        <x:f>IF(ISNUMBER(Evidence!D443),Evidence!D443&amp;Evidence!E443,Evidence!D443)</x:f>
        <x:v>U</x:v>
      </x:c>
      <x:c r="H21" s="11" t="str">
        <x:f>IF(ISNUMBER(Evidence!D444),Evidence!D444&amp;Evidence!E444,Evidence!D444)</x:f>
        <x:v>U</x:v>
      </x:c>
    </x:row>
    <x:row r="22" ht="28.5" customHeight="1">
      <x:c r="A22" s="3" t="str">
        <x:v>PYDANTIC</x:v>
      </x:c>
      <x:c r="B22" s="3" t="str">
        <x:v>Pydantic AI</x:v>
      </x:c>
      <x:c r="C22" s="11" t="str">
        <x:f>IF(ISNUMBER(Evidence!D465),Evidence!D465&amp;Evidence!E465,Evidence!D465)</x:f>
        <x:v>3G</x:v>
      </x:c>
      <x:c r="D22" s="11" t="str">
        <x:f>IF(ISNUMBER(Evidence!D466),Evidence!D466&amp;Evidence!E466,Evidence!D466)</x:f>
        <x:v>2R</x:v>
      </x:c>
      <x:c r="E22" s="11" t="str">
        <x:f>IF(ISNUMBER(Evidence!D467),Evidence!D467&amp;Evidence!E467,Evidence!D467)</x:f>
        <x:v>2R</x:v>
      </x:c>
      <x:c r="F22" s="11" t="str">
        <x:f>IF(ISNUMBER(Evidence!D468),Evidence!D468&amp;Evidence!E468,Evidence!D468)</x:f>
        <x:v>2R</x:v>
      </x:c>
      <x:c r="G22" s="11" t="str">
        <x:f>IF(ISNUMBER(Evidence!D469),Evidence!D469&amp;Evidence!E469,Evidence!D469)</x:f>
        <x:v>U</x:v>
      </x:c>
      <x:c r="H22" s="11" t="str">
        <x:f>IF(ISNUMBER(Evidence!D470),Evidence!D470&amp;Evidence!E470,Evidence!D470)</x:f>
        <x:v>U</x:v>
      </x:c>
    </x:row>
  </x:sheetData>
  <x:mergeCells>
    <x:mergeCell ref="A1:H1"/>
    <x:mergeCell ref="A2:H2"/>
  </x:mergeCells>
  <x:conditionalFormatting sqref="C5:H22">
    <x:cfRule type="cellIs" dxfId="66" priority="1" operator="equal">
      <x:formula>"3D"</x:formula>
    </x:cfRule>
    <x:cfRule type="cellIs" dxfId="67" priority="2" operator="equal">
      <x:formula>"3R"</x:formula>
    </x:cfRule>
    <x:cfRule type="cellIs" dxfId="68" priority="3" operator="equal">
      <x:formula>"3G"</x:formula>
    </x:cfRule>
    <x:cfRule type="cellIs" dxfId="69" priority="4" operator="equal">
      <x:formula>"3L"</x:formula>
    </x:cfRule>
    <x:cfRule type="cellIs" dxfId="70" priority="5" operator="equal">
      <x:formula>"3P"</x:formula>
    </x:cfRule>
    <x:cfRule type="cellIs" dxfId="71" priority="6" operator="equal">
      <x:formula>"2D"</x:formula>
    </x:cfRule>
    <x:cfRule type="cellIs" dxfId="72" priority="7" operator="equal">
      <x:formula>"2R"</x:formula>
    </x:cfRule>
    <x:cfRule type="cellIs" dxfId="73" priority="8" operator="equal">
      <x:formula>"2G"</x:formula>
    </x:cfRule>
    <x:cfRule type="cellIs" dxfId="74" priority="9" operator="equal">
      <x:formula>"2L"</x:formula>
    </x:cfRule>
    <x:cfRule type="cellIs" dxfId="75" priority="10" operator="equal">
      <x:formula>"2P"</x:formula>
    </x:cfRule>
    <x:cfRule type="cellIs" dxfId="76" priority="11" operator="equal">
      <x:formula>"1D"</x:formula>
    </x:cfRule>
    <x:cfRule type="cellIs" dxfId="77" priority="12" operator="equal">
      <x:formula>"1R"</x:formula>
    </x:cfRule>
    <x:cfRule type="cellIs" dxfId="78" priority="13" operator="equal">
      <x:formula>"1G"</x:formula>
    </x:cfRule>
    <x:cfRule type="cellIs" dxfId="79" priority="14" operator="equal">
      <x:formula>"1L"</x:formula>
    </x:cfRule>
    <x:cfRule type="cellIs" dxfId="80" priority="15" operator="equal">
      <x:formula>"1P"</x:formula>
    </x:cfRule>
    <x:cfRule type="cellIs" dxfId="81" priority="16" operator="equal">
      <x:formula>"0D"</x:formula>
    </x:cfRule>
    <x:cfRule type="cellIs" dxfId="82" priority="17" operator="equal">
      <x:formula>"0R"</x:formula>
    </x:cfRule>
    <x:cfRule type="cellIs" dxfId="83" priority="18" operator="equal">
      <x:formula>"0G"</x:formula>
    </x:cfRule>
    <x:cfRule type="cellIs" dxfId="84" priority="19" operator="equal">
      <x:formula>"0L"</x:formula>
    </x:cfRule>
    <x:cfRule type="cellIs" dxfId="85" priority="20" operator="equal">
      <x:formula>"0P"</x:formula>
    </x:cfRule>
    <x:cfRule type="cellIs" dxfId="86" priority="21" operator="equal">
      <x:formula>"U"</x:formula>
    </x:cfRule>
    <x:cfRule type="cellIs" dxfId="87" priority="22" operator="equal">
      <x:formula>"NA"</x:formula>
    </x:cfRule>
  </x:conditionalFormatting>
  <x:pageMargins left="0.7" right="0.7" top="0.75" bottom="0.75" header="0.3" footer="0.3"/>
  <x:tableParts count="1">
    <x:tablePart xmlns:r="http://schemas.openxmlformats.org/officeDocument/2006/relationships" r:id="R556423b1d01a4c9f"/>
  </x:tableParts>
</x:worksheet>
</file>

<file path=xl/worksheets/sheet7.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3.890000343322754" hidden="0" customWidth="1"/>
    <x:col min="2" max="2" width="33.33000183105469" hidden="0" customWidth="1"/>
    <x:col min="3" max="3" width="17.780000686645508" hidden="0" customWidth="1"/>
    <x:col min="4" max="4" width="17.780000686645508" hidden="0" customWidth="1"/>
  </x:cols>
  <x:sheetData>
    <x:row r="1" ht="25.5" customHeight="1">
      <x:c r="A1" s="4" t="str">
        <x:v>Operational controls — comparison grid</x:v>
      </x:c>
      <x:c r="B1" s="4"/>
      <x:c r="C1" s="4"/>
      <x:c r="D1" s="4"/>
    </x:row>
    <x:row r="2" ht="31.5" customHeight="1">
      <x:c r="A2" s="5" t="str">
        <x:v>0–3 = documented coverage; D rule, R API, G guidance, L local, P public measurement. U unknown; NA outside purpose. No sum or rank.</x:v>
      </x:c>
      <x:c r="B2" s="5"/>
      <x:c r="C2" s="5"/>
      <x:c r="D2" s="5"/>
    </x:row>
    <x:row r="3" ht="7.5" customHeight="1">
      <x:c r="A3" s="3"/>
      <x:c r="B3" s="3"/>
      <x:c r="C3" s="3"/>
      <x:c r="D3" s="3"/>
    </x:row>
    <x:row r="4" ht="72" customHeight="1">
      <x:c r="A4" s="8" t="str">
        <x:v>Entry</x:v>
      </x:c>
      <x:c r="B4" s="8" t="str">
        <x:v>Candidate</x:v>
      </x:c>
      <x:c r="C4" s="8" t="str">
        <x:v>C25
Untrusted inputs and information boundaries</x:v>
      </x:c>
      <x:c r="D4" s="8" t="str">
        <x:v>C26
Enforced operational resource limits</x:v>
      </x:c>
    </x:row>
    <x:row r="5" ht="28.5" customHeight="1">
      <x:c r="A5" s="3" t="str">
        <x:v>ST25</x:v>
      </x:c>
      <x:c r="B5" s="3" t="str">
        <x:v>STDO 2.5.1-rc.2</x:v>
      </x:c>
      <x:c r="C5" s="11" t="str">
        <x:f>IF(ISNUMBER(Evidence!D29),Evidence!D29&amp;Evidence!E29,Evidence!D29)</x:f>
        <x:v>1D</x:v>
      </x:c>
      <x:c r="D5" s="11" t="str">
        <x:f>IF(ISNUMBER(Evidence!D30),Evidence!D30&amp;Evidence!E30,Evidence!D30)</x:f>
        <x:v>1D</x:v>
      </x:c>
    </x:row>
    <x:row r="6" ht="28.5" customHeight="1">
      <x:c r="A6" s="3" t="str">
        <x:v>ST3C</x:v>
      </x:c>
      <x:c r="B6" s="3" t="str">
        <x:v>STDO v3 — Claude candidate</x:v>
      </x:c>
      <x:c r="C6" s="11" t="str">
        <x:f>IF(ISNUMBER(Evidence!D55),Evidence!D55&amp;Evidence!E55,Evidence!D55)</x:f>
        <x:v>1D</x:v>
      </x:c>
      <x:c r="D6" s="11" t="str">
        <x:f>IF(ISNUMBER(Evidence!D56),Evidence!D56&amp;Evidence!E56,Evidence!D56)</x:f>
        <x:v>1D</x:v>
      </x:c>
    </x:row>
    <x:row r="7" ht="28.5" customHeight="1">
      <x:c r="A7" s="3" t="str">
        <x:v>ST3X</x:v>
      </x:c>
      <x:c r="B7" s="3" t="str">
        <x:v>STDO v3 — Codex candidate</x:v>
      </x:c>
      <x:c r="C7" s="11" t="str">
        <x:f>IF(ISNUMBER(Evidence!D81),Evidence!D81&amp;Evidence!E81,Evidence!D81)</x:f>
        <x:v>1D</x:v>
      </x:c>
      <x:c r="D7" s="11" t="str">
        <x:f>IF(ISNUMBER(Evidence!D82),Evidence!D82&amp;Evidence!E82,Evidence!D82)</x:f>
        <x:v>1D</x:v>
      </x:c>
    </x:row>
    <x:row r="8" ht="28.5" customHeight="1">
      <x:c r="A8" s="3" t="str">
        <x:v>SPECKIT</x:v>
      </x:c>
      <x:c r="B8" s="3" t="str">
        <x:v>GitHub Spec Kit</x:v>
      </x:c>
      <x:c r="C8" s="11" t="str">
        <x:f>IF(ISNUMBER(Evidence!D107),Evidence!D107&amp;Evidence!E107,Evidence!D107)</x:f>
        <x:v>1G</x:v>
      </x:c>
      <x:c r="D8" s="11" t="str">
        <x:f>IF(ISNUMBER(Evidence!D108),Evidence!D108&amp;Evidence!E108,Evidence!D108)</x:f>
        <x:v>2R</x:v>
      </x:c>
    </x:row>
    <x:row r="9" ht="28.5" customHeight="1">
      <x:c r="A9" s="3" t="str">
        <x:v>BMAD</x:v>
      </x:c>
      <x:c r="B9" s="3" t="str">
        <x:v>BMad Method v6.12.2</x:v>
      </x:c>
      <x:c r="C9" s="11" t="str">
        <x:f>IF(ISNUMBER(Evidence!D133),Evidence!D133&amp;Evidence!E133,Evidence!D133)</x:f>
        <x:v>1D</x:v>
      </x:c>
      <x:c r="D9" s="11" t="str">
        <x:f>IF(ISNUMBER(Evidence!D134),Evidence!D134&amp;Evidence!E134,Evidence!D134)</x:f>
        <x:v>U</x:v>
      </x:c>
    </x:row>
    <x:row r="10" ht="28.5" customHeight="1">
      <x:c r="A10" s="3" t="str">
        <x:v>OPENSPEC</x:v>
      </x:c>
      <x:c r="B10" s="3" t="str">
        <x:v>Fission AI OpenSpec</x:v>
      </x:c>
      <x:c r="C10" s="11" t="str">
        <x:f>IF(ISNUMBER(Evidence!D159),Evidence!D159&amp;Evidence!E159,Evidence!D159)</x:f>
        <x:v>U</x:v>
      </x:c>
      <x:c r="D10" s="11" t="str">
        <x:f>IF(ISNUMBER(Evidence!D160),Evidence!D160&amp;Evidence!E160,Evidence!D160)</x:f>
        <x:v>U</x:v>
      </x:c>
    </x:row>
    <x:row r="11" ht="28.5" customHeight="1">
      <x:c r="A11" s="3" t="str">
        <x:v>CODEX</x:v>
      </x:c>
      <x:c r="B11" s="3" t="str">
        <x:v>OpenAI Codex</x:v>
      </x:c>
      <x:c r="C11" s="11" t="str">
        <x:f>IF(ISNUMBER(Evidence!D185),Evidence!D185&amp;Evidence!E185,Evidence!D185)</x:f>
        <x:v>2R</x:v>
      </x:c>
      <x:c r="D11" s="11" t="str">
        <x:f>IF(ISNUMBER(Evidence!D186),Evidence!D186&amp;Evidence!E186,Evidence!D186)</x:f>
        <x:v>1R</x:v>
      </x:c>
    </x:row>
    <x:row r="12" ht="28.5" customHeight="1">
      <x:c r="A12" s="3" t="str">
        <x:v>CLAUDE</x:v>
      </x:c>
      <x:c r="B12" s="3" t="str">
        <x:v>Anthropic Claude Code</x:v>
      </x:c>
      <x:c r="C12" s="11" t="str">
        <x:f>IF(ISNUMBER(Evidence!D211),Evidence!D211&amp;Evidence!E211,Evidence!D211)</x:f>
        <x:v>2R</x:v>
      </x:c>
      <x:c r="D12" s="11" t="str">
        <x:f>IF(ISNUMBER(Evidence!D212),Evidence!D212&amp;Evidence!E212,Evidence!D212)</x:f>
        <x:v>2R</x:v>
      </x:c>
    </x:row>
    <x:row r="13" ht="28.5" customHeight="1">
      <x:c r="A13" s="3" t="str">
        <x:v>GEMINI</x:v>
      </x:c>
      <x:c r="B13" s="3" t="str">
        <x:v>Google Gemini CLI</x:v>
      </x:c>
      <x:c r="C13" s="11" t="str">
        <x:f>IF(ISNUMBER(Evidence!D237),Evidence!D237&amp;Evidence!E237,Evidence!D237)</x:f>
        <x:v>1R</x:v>
      </x:c>
      <x:c r="D13" s="11" t="str">
        <x:f>IF(ISNUMBER(Evidence!D238),Evidence!D238&amp;Evidence!E238,Evidence!D238)</x:f>
        <x:v>2R</x:v>
      </x:c>
    </x:row>
    <x:row r="14" ht="28.5" customHeight="1">
      <x:c r="A14" s="3" t="str">
        <x:v>QWEN</x:v>
      </x:c>
      <x:c r="B14" s="3" t="str">
        <x:v>Qwen Code</x:v>
      </x:c>
      <x:c r="C14" s="11" t="str">
        <x:f>IF(ISNUMBER(Evidence!D263),Evidence!D263&amp;Evidence!E263,Evidence!D263)</x:f>
        <x:v>2R</x:v>
      </x:c>
      <x:c r="D14" s="11" t="str">
        <x:f>IF(ISNUMBER(Evidence!D264),Evidence!D264&amp;Evidence!E264,Evidence!D264)</x:f>
        <x:v>2R</x:v>
      </x:c>
    </x:row>
    <x:row r="15" ht="28.5" customHeight="1">
      <x:c r="A15" s="3" t="str">
        <x:v>OASDK</x:v>
      </x:c>
      <x:c r="B15" s="3" t="str">
        <x:v>OpenAI Agents SDK</x:v>
      </x:c>
      <x:c r="C15" s="11" t="str">
        <x:f>IF(ISNUMBER(Evidence!D289),Evidence!D289&amp;Evidence!E289,Evidence!D289)</x:f>
        <x:v>1R</x:v>
      </x:c>
      <x:c r="D15" s="11" t="str">
        <x:f>IF(ISNUMBER(Evidence!D290),Evidence!D290&amp;Evidence!E290,Evidence!D290)</x:f>
        <x:v>1R</x:v>
      </x:c>
    </x:row>
    <x:row r="16" ht="28.5" customHeight="1">
      <x:c r="A16" s="3" t="str">
        <x:v>CASDK</x:v>
      </x:c>
      <x:c r="B16" s="3" t="str">
        <x:v>Anthropic Claude Agent SDK</x:v>
      </x:c>
      <x:c r="C16" s="11" t="str">
        <x:f>IF(ISNUMBER(Evidence!D315),Evidence!D315&amp;Evidence!E315,Evidence!D315)</x:f>
        <x:v>1R</x:v>
      </x:c>
      <x:c r="D16" s="11" t="str">
        <x:f>IF(ISNUMBER(Evidence!D316),Evidence!D316&amp;Evidence!E316,Evidence!D316)</x:f>
        <x:v>2R</x:v>
      </x:c>
    </x:row>
    <x:row r="17" ht="28.5" customHeight="1">
      <x:c r="A17" s="3" t="str">
        <x:v>ADK</x:v>
      </x:c>
      <x:c r="B17" s="3" t="str">
        <x:v>Google Agent Development Kit</x:v>
      </x:c>
      <x:c r="C17" s="11" t="str">
        <x:f>IF(ISNUMBER(Evidence!D341),Evidence!D341&amp;Evidence!E341,Evidence!D341)</x:f>
        <x:v>1R</x:v>
      </x:c>
      <x:c r="D17" s="11" t="str">
        <x:f>IF(ISNUMBER(Evidence!D342),Evidence!D342&amp;Evidence!E342,Evidence!D342)</x:f>
        <x:v>2R</x:v>
      </x:c>
    </x:row>
    <x:row r="18" ht="28.5" customHeight="1">
      <x:c r="A18" s="3" t="str">
        <x:v>OPENHANDS</x:v>
      </x:c>
      <x:c r="B18" s="3" t="str">
        <x:v>OpenHands Software Agent SDK</x:v>
      </x:c>
      <x:c r="C18" s="11" t="str">
        <x:f>IF(ISNUMBER(Evidence!D367),Evidence!D367&amp;Evidence!E367,Evidence!D367)</x:f>
        <x:v>2R</x:v>
      </x:c>
      <x:c r="D18" s="11" t="str">
        <x:f>IF(ISNUMBER(Evidence!D368),Evidence!D368&amp;Evidence!E368,Evidence!D368)</x:f>
        <x:v>2R</x:v>
      </x:c>
    </x:row>
    <x:row r="19" ht="28.5" customHeight="1">
      <x:c r="A19" s="3" t="str">
        <x:v>LANGGRAPH</x:v>
      </x:c>
      <x:c r="B19" s="3" t="str">
        <x:v>LangGraph</x:v>
      </x:c>
      <x:c r="C19" s="11" t="str">
        <x:f>IF(ISNUMBER(Evidence!D393),Evidence!D393&amp;Evidence!E393,Evidence!D393)</x:f>
        <x:v>U</x:v>
      </x:c>
      <x:c r="D19" s="11" t="str">
        <x:f>IF(ISNUMBER(Evidence!D394),Evidence!D394&amp;Evidence!E394,Evidence!D394)</x:f>
        <x:v>2R</x:v>
      </x:c>
    </x:row>
    <x:row r="20" ht="28.5" customHeight="1">
      <x:c r="A20" s="3" t="str">
        <x:v>MAF</x:v>
      </x:c>
      <x:c r="B20" s="3" t="str">
        <x:v>Microsoft Agent Framework</x:v>
      </x:c>
      <x:c r="C20" s="11" t="str">
        <x:f>IF(ISNUMBER(Evidence!D419),Evidence!D419&amp;Evidence!E419,Evidence!D419)</x:f>
        <x:v>3R</x:v>
      </x:c>
      <x:c r="D20" s="11" t="str">
        <x:f>IF(ISNUMBER(Evidence!D420),Evidence!D420&amp;Evidence!E420,Evidence!D420)</x:f>
        <x:v>2R</x:v>
      </x:c>
    </x:row>
    <x:row r="21" ht="28.5" customHeight="1">
      <x:c r="A21" s="3" t="str">
        <x:v>CREWAI</x:v>
      </x:c>
      <x:c r="B21" s="3" t="str">
        <x:v>CrewAI</x:v>
      </x:c>
      <x:c r="C21" s="11" t="str">
        <x:f>IF(ISNUMBER(Evidence!D445),Evidence!D445&amp;Evidence!E445,Evidence!D445)</x:f>
        <x:v>1G</x:v>
      </x:c>
      <x:c r="D21" s="11" t="str">
        <x:f>IF(ISNUMBER(Evidence!D446),Evidence!D446&amp;Evidence!E446,Evidence!D446)</x:f>
        <x:v>2R</x:v>
      </x:c>
    </x:row>
    <x:row r="22" ht="28.5" customHeight="1">
      <x:c r="A22" s="3" t="str">
        <x:v>PYDANTIC</x:v>
      </x:c>
      <x:c r="B22" s="3" t="str">
        <x:v>Pydantic AI</x:v>
      </x:c>
      <x:c r="C22" s="11" t="str">
        <x:f>IF(ISNUMBER(Evidence!D471),Evidence!D471&amp;Evidence!E471,Evidence!D471)</x:f>
        <x:v>1G</x:v>
      </x:c>
      <x:c r="D22" s="11" t="str">
        <x:f>IF(ISNUMBER(Evidence!D472),Evidence!D472&amp;Evidence!E472,Evidence!D472)</x:f>
        <x:v>2R</x:v>
      </x:c>
    </x:row>
  </x:sheetData>
  <x:mergeCells>
    <x:mergeCell ref="A1:D1"/>
    <x:mergeCell ref="A2:D2"/>
  </x:mergeCells>
  <x:conditionalFormatting sqref="C5:D22">
    <x:cfRule type="cellIs" dxfId="88" priority="1" operator="equal">
      <x:formula>"3D"</x:formula>
    </x:cfRule>
    <x:cfRule type="cellIs" dxfId="89" priority="2" operator="equal">
      <x:formula>"3R"</x:formula>
    </x:cfRule>
    <x:cfRule type="cellIs" dxfId="90" priority="3" operator="equal">
      <x:formula>"3G"</x:formula>
    </x:cfRule>
    <x:cfRule type="cellIs" dxfId="91" priority="4" operator="equal">
      <x:formula>"3L"</x:formula>
    </x:cfRule>
    <x:cfRule type="cellIs" dxfId="92" priority="5" operator="equal">
      <x:formula>"3P"</x:formula>
    </x:cfRule>
    <x:cfRule type="cellIs" dxfId="93" priority="6" operator="equal">
      <x:formula>"2D"</x:formula>
    </x:cfRule>
    <x:cfRule type="cellIs" dxfId="94" priority="7" operator="equal">
      <x:formula>"2R"</x:formula>
    </x:cfRule>
    <x:cfRule type="cellIs" dxfId="95" priority="8" operator="equal">
      <x:formula>"2G"</x:formula>
    </x:cfRule>
    <x:cfRule type="cellIs" dxfId="96" priority="9" operator="equal">
      <x:formula>"2L"</x:formula>
    </x:cfRule>
    <x:cfRule type="cellIs" dxfId="97" priority="10" operator="equal">
      <x:formula>"2P"</x:formula>
    </x:cfRule>
    <x:cfRule type="cellIs" dxfId="98" priority="11" operator="equal">
      <x:formula>"1D"</x:formula>
    </x:cfRule>
    <x:cfRule type="cellIs" dxfId="99" priority="12" operator="equal">
      <x:formula>"1R"</x:formula>
    </x:cfRule>
    <x:cfRule type="cellIs" dxfId="100" priority="13" operator="equal">
      <x:formula>"1G"</x:formula>
    </x:cfRule>
    <x:cfRule type="cellIs" dxfId="101" priority="14" operator="equal">
      <x:formula>"1L"</x:formula>
    </x:cfRule>
    <x:cfRule type="cellIs" dxfId="102" priority="15" operator="equal">
      <x:formula>"1P"</x:formula>
    </x:cfRule>
    <x:cfRule type="cellIs" dxfId="103" priority="16" operator="equal">
      <x:formula>"0D"</x:formula>
    </x:cfRule>
    <x:cfRule type="cellIs" dxfId="104" priority="17" operator="equal">
      <x:formula>"0R"</x:formula>
    </x:cfRule>
    <x:cfRule type="cellIs" dxfId="105" priority="18" operator="equal">
      <x:formula>"0G"</x:formula>
    </x:cfRule>
    <x:cfRule type="cellIs" dxfId="106" priority="19" operator="equal">
      <x:formula>"0L"</x:formula>
    </x:cfRule>
    <x:cfRule type="cellIs" dxfId="107" priority="20" operator="equal">
      <x:formula>"0P"</x:formula>
    </x:cfRule>
    <x:cfRule type="cellIs" dxfId="108" priority="21" operator="equal">
      <x:formula>"U"</x:formula>
    </x:cfRule>
    <x:cfRule type="cellIs" dxfId="109" priority="22" operator="equal">
      <x:formula>"NA"</x:formula>
    </x:cfRule>
  </x:conditionalFormatting>
  <x:pageMargins left="0.7" right="0.7" top="0.75" bottom="0.75" header="0.3" footer="0.3"/>
  <x:tableParts count="1">
    <x:tablePart xmlns:r="http://schemas.openxmlformats.org/officeDocument/2006/relationships" r:id="Rd7d4a57fa4c44a99"/>
  </x:tableParts>
</x:worksheet>
</file>

<file path=xl/worksheets/sheet8.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3.890000343322754" hidden="0" customWidth="1"/>
    <x:col min="2" max="2" width="27.780000686645508" hidden="0" customWidth="1"/>
    <x:col min="3" max="3" width="8.890000343322754" hidden="0" customWidth="1"/>
    <x:col min="4" max="4" width="7.78000020980835" hidden="0" customWidth="1"/>
    <x:col min="5" max="5" width="7.21999979019165" hidden="0" customWidth="1"/>
    <x:col min="6" max="6" width="11.109999656677246" hidden="0" customWidth="1"/>
    <x:col min="7" max="7" width="20" hidden="0" customWidth="1"/>
    <x:col min="8" max="8" width="60" hidden="0" customWidth="1"/>
    <x:col min="9" max="9" width="67.77999877929688" hidden="0" customWidth="1"/>
  </x:cols>
  <x:sheetData>
    <x:row r="1" ht="25.5" customHeight="1">
      <x:c r="A1" s="4" t="str">
        <x:v>Rating evidence — canonical inputs</x:v>
      </x:c>
      <x:c r="B1" s="4"/>
      <x:c r="C1" s="4"/>
      <x:c r="D1" s="4"/>
      <x:c r="E1" s="4"/>
      <x:c r="F1" s="4"/>
      <x:c r="G1" s="4"/>
      <x:c r="H1" s="4"/>
      <x:c r="I1" s="4"/>
    </x:row>
    <x:row r="2" ht="31.5" customHeight="1">
      <x:c r="A2" s="5" t="str">
        <x:v>One row per rating. Numeric 0–3 stays numeric; U and NA stay text. Edit Score/Form here to update the five grids.</x:v>
      </x:c>
      <x:c r="B2" s="5"/>
      <x:c r="C2" s="5"/>
      <x:c r="D2" s="5"/>
      <x:c r="E2" s="5"/>
      <x:c r="F2" s="5"/>
      <x:c r="G2" s="5"/>
      <x:c r="H2" s="5"/>
      <x:c r="I2" s="5"/>
    </x:row>
    <x:row r="3" ht="7.5" customHeight="1">
      <x:c r="A3" s="3"/>
      <x:c r="B3" s="3"/>
      <x:c r="C3" s="3"/>
      <x:c r="D3" s="3"/>
      <x:c r="E3" s="3"/>
      <x:c r="F3" s="3"/>
      <x:c r="G3" s="3"/>
      <x:c r="H3" s="3"/>
      <x:c r="I3" s="3"/>
    </x:row>
    <x:row r="4" ht="31.5" customHeight="1">
      <x:c r="A4" s="8" t="str">
        <x:v>Entry</x:v>
      </x:c>
      <x:c r="B4" s="8" t="str">
        <x:v>Candidate</x:v>
      </x:c>
      <x:c r="C4" s="8" t="str">
        <x:v>Criterion</x:v>
      </x:c>
      <x:c r="D4" s="8" t="str">
        <x:v>Score</x:v>
      </x:c>
      <x:c r="E4" s="8" t="str">
        <x:v>Form</x:v>
      </x:c>
      <x:c r="F4" s="8" t="str">
        <x:v>Confidence</x:v>
      </x:c>
      <x:c r="G4" s="8" t="str">
        <x:v>Source IDs</x:v>
      </x:c>
      <x:c r="H4" s="8" t="str">
        <x:v>Analyst reason / limits</x:v>
      </x:c>
      <x:c r="I4" s="8" t="str">
        <x:v>Exact source locators</x:v>
      </x:c>
    </x:row>
    <x:row r="5" ht="49.5" customHeight="1">
      <x:c r="A5" s="3" t="str">
        <x:v>ST25</x:v>
      </x:c>
      <x:c r="B5" s="3" t="str">
        <x:v>STDO 2.5.1-rc.2</x:v>
      </x:c>
      <x:c r="C5" s="3" t="str">
        <x:v>C01</x:v>
      </x:c>
      <x:c r="D5" s="9" t="n">
        <x:v>3</x:v>
      </x:c>
      <x:c r="E5" s="9" t="str">
        <x:v>D</x:v>
      </x:c>
      <x:c r="F5" s="9" t="str">
        <x:v>high</x:v>
      </x:c>
      <x:c r="G5" s="3" t="str">
        <x:v>ST2-SPEC</x:v>
      </x:c>
      <x:c r="H5" s="3" t="str">
        <x:v>Owned Product outcome and observable adequacy; purpose and reserved choices govern subordinate work.</x:v>
      </x:c>
      <x:c r="I5" s="3" t="str">
        <x:v>stdo://releases/v2.5.1-rc.2/standards/SPEC_METHOD.md</x:v>
      </x:c>
    </x:row>
    <x:row r="6" ht="49.5" customHeight="1">
      <x:c r="A6" s="3" t="str">
        <x:v>ST25</x:v>
      </x:c>
      <x:c r="B6" s="3" t="str">
        <x:v>STDO 2.5.1-rc.2</x:v>
      </x:c>
      <x:c r="C6" s="3" t="str">
        <x:v>C02</x:v>
      </x:c>
      <x:c r="D6" s="9" t="n">
        <x:v>3</x:v>
      </x:c>
      <x:c r="E6" s="9" t="str">
        <x:v>D</x:v>
      </x:c>
      <x:c r="F6" s="9" t="str">
        <x:v>high</x:v>
      </x:c>
      <x:c r="G6" s="3" t="str">
        <x:v>ST2-SPEC</x:v>
      </x:c>
      <x:c r="H6" s="3" t="str">
        <x:v>Constitutional requirements, design, implementation and evidence have distinct authority with explicit traceability and re-entry.</x:v>
      </x:c>
      <x:c r="I6" s="3" t="str">
        <x:v>stdo://releases/v2.5.1-rc.2/standards/SPEC_METHOD.md</x:v>
      </x:c>
    </x:row>
    <x:row r="7" ht="49.5" customHeight="1">
      <x:c r="A7" s="3" t="str">
        <x:v>ST25</x:v>
      </x:c>
      <x:c r="B7" s="3" t="str">
        <x:v>STDO 2.5.1-rc.2</x:v>
      </x:c>
      <x:c r="C7" s="3" t="str">
        <x:v>C03</x:v>
      </x:c>
      <x:c r="D7" s="9" t="n">
        <x:v>3</x:v>
      </x:c>
      <x:c r="E7" s="9" t="str">
        <x:v>D</x:v>
      </x:c>
      <x:c r="F7" s="9" t="str">
        <x:v>high</x:v>
      </x:c>
      <x:c r="G7" s="3" t="str">
        <x:v>ST2-AC</x:v>
      </x:c>
      <x:c r="H7" s="3" t="str">
        <x:v>Subject, representation, interpretation, scoped identity and current state are distinct; structural validity is weaker than fidelity.</x:v>
      </x:c>
      <x:c r="I7" s="3" t="str">
        <x:v>stdo://releases/v2.5.1-rc.2/standards/AXIOMATIC_CALCULUS.md</x:v>
      </x:c>
    </x:row>
    <x:row r="8" ht="49.5" customHeight="1">
      <x:c r="A8" s="3" t="str">
        <x:v>ST25</x:v>
      </x:c>
      <x:c r="B8" s="3" t="str">
        <x:v>STDO 2.5.1-rc.2</x:v>
      </x:c>
      <x:c r="C8" s="3" t="str">
        <x:v>C04</x:v>
      </x:c>
      <x:c r="D8" s="9" t="n">
        <x:v>3</x:v>
      </x:c>
      <x:c r="E8" s="9" t="str">
        <x:v>D</x:v>
      </x:c>
      <x:c r="F8" s="9" t="str">
        <x:v>high</x:v>
      </x:c>
      <x:c r="G8" s="3" t="str">
        <x:v>ST2-AC
ST2-RF</x:v>
      </x:c>
      <x:c r="H8" s="3" t="str">
        <x:v>Typed joins and declared conjunction preserve original basis, authority, failure, residuals and uncovered required coverage.</x:v>
      </x:c>
      <x:c r="I8" s="3" t="str">
        <x:v>stdo://releases/v2.5.1-rc.2/standards/AXIOMATIC_CALCULUS.md
stdo://releases/v2.5.1-rc.2/standards/REFERENCE_FRAME_METHOD.md</x:v>
      </x:c>
    </x:row>
    <x:row r="9" ht="49.5" customHeight="1">
      <x:c r="A9" s="3" t="str">
        <x:v>ST25</x:v>
      </x:c>
      <x:c r="B9" s="3" t="str">
        <x:v>STDO 2.5.1-rc.2</x:v>
      </x:c>
      <x:c r="C9" s="3" t="str">
        <x:v>C05</x:v>
      </x:c>
      <x:c r="D9" s="9" t="n">
        <x:v>3</x:v>
      </x:c>
      <x:c r="E9" s="9" t="str">
        <x:v>D</x:v>
      </x:c>
      <x:c r="F9" s="9" t="str">
        <x:v>high</x:v>
      </x:c>
      <x:c r="G9" s="3" t="str">
        <x:v>ST2-SPEC
ST2-TICKET</x:v>
      </x:c>
      <x:c r="H9" s="3" t="str">
        <x:v>Change classification and judgment continuity invalidate affected support without automatically discarding independent surviving work.</x:v>
      </x:c>
      <x:c r="I9" s="3" t="str">
        <x:v>stdo://releases/v2.5.1-rc.2/standards/SPEC_METHOD.md
stdo://releases/v2.5.1-rc.2/standards/TICKET_METHOD.md</x:v>
      </x:c>
    </x:row>
    <x:row r="10" ht="49.5" customHeight="1">
      <x:c r="A10" s="3" t="str">
        <x:v>ST25</x:v>
      </x:c>
      <x:c r="B10" s="3" t="str">
        <x:v>STDO 2.5.1-rc.2</x:v>
      </x:c>
      <x:c r="C10" s="3" t="str">
        <x:v>C06</x:v>
      </x:c>
      <x:c r="D10" s="9" t="n">
        <x:v>3</x:v>
      </x:c>
      <x:c r="E10" s="9" t="str">
        <x:v>D</x:v>
      </x:c>
      <x:c r="F10" s="9" t="str">
        <x:v>high</x:v>
      </x:c>
      <x:c r="G10" s="3" t="str">
        <x:v>ST2-REL</x:v>
      </x:c>
      <x:c r="H10" s="3" t="str">
        <x:v>Release/adoption binds exact Product inventory, accepted meaning, qualification and immutable RC identity.</x:v>
      </x:c>
      <x:c r="I10" s="3" t="str">
        <x:v>stdo://releases/v2.5.1-rc.2/standards/RELEASE_METHOD.md</x:v>
      </x:c>
    </x:row>
    <x:row r="11" ht="49.5" customHeight="1">
      <x:c r="A11" s="3" t="str">
        <x:v>ST25</x:v>
      </x:c>
      <x:c r="B11" s="3" t="str">
        <x:v>STDO 2.5.1-rc.2</x:v>
      </x:c>
      <x:c r="C11" s="3" t="str">
        <x:v>C07</x:v>
      </x:c>
      <x:c r="D11" s="9" t="n">
        <x:v>3</x:v>
      </x:c>
      <x:c r="E11" s="9" t="str">
        <x:v>D</x:v>
      </x:c>
      <x:c r="F11" s="9" t="str">
        <x:v>high</x:v>
      </x:c>
      <x:c r="G11" s="3" t="str">
        <x:v>ST2-RF</x:v>
      </x:c>
      <x:c r="H11" s="3" t="str">
        <x:v>Material sufficiency and irrelevance exclusion govern selected context; a reference must remain authentic, available and sufficient.</x:v>
      </x:c>
      <x:c r="I11" s="3" t="str">
        <x:v>stdo://releases/v2.5.1-rc.2/standards/REFERENCE_FRAME_METHOD.md</x:v>
      </x:c>
    </x:row>
    <x:row r="12" ht="49.5" customHeight="1">
      <x:c r="A12" s="3" t="str">
        <x:v>ST25</x:v>
      </x:c>
      <x:c r="B12" s="3" t="str">
        <x:v>STDO 2.5.1-rc.2</x:v>
      </x:c>
      <x:c r="C12" s="3" t="str">
        <x:v>C08</x:v>
      </x:c>
      <x:c r="D12" s="9" t="n">
        <x:v>2</x:v>
      </x:c>
      <x:c r="E12" s="9" t="str">
        <x:v>D</x:v>
      </x:c>
      <x:c r="F12" s="9" t="str">
        <x:v>high</x:v>
      </x:c>
      <x:c r="G12" s="3" t="str">
        <x:v>ST2-RF</x:v>
      </x:c>
      <x:c r="H12" s="3" t="str">
        <x:v>Actor envelope and capability-fit response are explicit. This is a method obligation, not a built-in provider token meter.</x:v>
      </x:c>
      <x:c r="I12" s="3" t="str">
        <x:v>stdo://releases/v2.5.1-rc.2/standards/REFERENCE_FRAME_METHOD.md</x:v>
      </x:c>
    </x:row>
    <x:row r="13" ht="49.5" customHeight="1">
      <x:c r="A13" s="3" t="str">
        <x:v>ST25</x:v>
      </x:c>
      <x:c r="B13" s="3" t="str">
        <x:v>STDO 2.5.1-rc.2</x:v>
      </x:c>
      <x:c r="C13" s="3" t="str">
        <x:v>C09</x:v>
      </x:c>
      <x:c r="D13" s="9" t="n">
        <x:v>3</x:v>
      </x:c>
      <x:c r="E13" s="9" t="str">
        <x:v>D</x:v>
      </x:c>
      <x:c r="F13" s="9" t="str">
        <x:v>high</x:v>
      </x:c>
      <x:c r="G13" s="3" t="str">
        <x:v>ST2-RF
ST2-SPEC</x:v>
      </x:c>
      <x:c r="H13" s="3" t="str">
        <x:v>Bounded construction, delegated evaluation and result conjunction must conserve the selected outer contract and required independence.</x:v>
      </x:c>
      <x:c r="I13" s="3" t="str">
        <x:v>stdo://releases/v2.5.1-rc.2/standards/SPEC_METHOD.md
stdo://releases/v2.5.1-rc.2/standards/REFERENCE_FRAME_METHOD.md</x:v>
      </x:c>
    </x:row>
    <x:row r="14" ht="49.5" customHeight="1">
      <x:c r="A14" s="3" t="str">
        <x:v>ST25</x:v>
      </x:c>
      <x:c r="B14" s="3" t="str">
        <x:v>STDO 2.5.1-rc.2</x:v>
      </x:c>
      <x:c r="C14" s="3" t="str">
        <x:v>C10</x:v>
      </x:c>
      <x:c r="D14" s="9" t="n">
        <x:v>3</x:v>
      </x:c>
      <x:c r="E14" s="9" t="str">
        <x:v>D</x:v>
      </x:c>
      <x:c r="F14" s="9" t="str">
        <x:v>high</x:v>
      </x:c>
      <x:c r="G14" s="3" t="str">
        <x:v>ST2-SPEC
ST2-TICKET</x:v>
      </x:c>
      <x:c r="H14" s="3" t="str">
        <x:v>Checkpoint/continuation recovers current retained work and checks prior judgments for exact applicability.</x:v>
      </x:c>
      <x:c r="I14" s="3" t="str">
        <x:v>stdo://releases/v2.5.1-rc.2/standards/SPEC_METHOD.md
stdo://releases/v2.5.1-rc.2/standards/TICKET_METHOD.md</x:v>
      </x:c>
    </x:row>
    <x:row r="15" ht="49.5" customHeight="1">
      <x:c r="A15" s="3" t="str">
        <x:v>ST25</x:v>
      </x:c>
      <x:c r="B15" s="3" t="str">
        <x:v>STDO 2.5.1-rc.2</x:v>
      </x:c>
      <x:c r="C15" s="3" t="str">
        <x:v>C11</x:v>
      </x:c>
      <x:c r="D15" s="9" t="n">
        <x:v>3</x:v>
      </x:c>
      <x:c r="E15" s="9" t="str">
        <x:v>D</x:v>
      </x:c>
      <x:c r="F15" s="9" t="str">
        <x:v>high</x:v>
      </x:c>
      <x:c r="G15" s="3" t="str">
        <x:v>ST2-RF</x:v>
      </x:c>
      <x:c r="H15" s="3" t="str">
        <x:v>Five closed semantic results distinguish falsification, insufficient evidence, missing capability and invalid basis from success; disposition is separate.</x:v>
      </x:c>
      <x:c r="I15" s="3" t="str">
        <x:v>stdo://releases/v2.5.1-rc.2/standards/REFERENCE_FRAME_METHOD.md</x:v>
      </x:c>
    </x:row>
    <x:row r="16" ht="49.5" customHeight="1">
      <x:c r="A16" s="3" t="str">
        <x:v>ST25</x:v>
      </x:c>
      <x:c r="B16" s="3" t="str">
        <x:v>STDO 2.5.1-rc.2</x:v>
      </x:c>
      <x:c r="C16" s="3" t="str">
        <x:v>C12</x:v>
      </x:c>
      <x:c r="D16" s="9" t="n">
        <x:v>2</x:v>
      </x:c>
      <x:c r="E16" s="9" t="str">
        <x:v>D</x:v>
      </x:c>
      <x:c r="F16" s="9" t="str">
        <x:v>medium</x:v>
      </x:c>
      <x:c r="G16" s="3" t="str">
        <x:v>ST2-SPEC</x:v>
      </x:c>
      <x:c r="H16" s="3" t="str">
        <x:v>Agentic continuation retains uncertain effect state and calls for reconciliation; no generic exactly-once runtime or automatic idempotency mechanism is supplied.</x:v>
      </x:c>
      <x:c r="I16" s="3" t="str">
        <x:v>stdo://releases/v2.5.1-rc.2/standards/SPEC_METHOD.md</x:v>
      </x:c>
    </x:row>
    <x:row r="17" ht="49.5" customHeight="1">
      <x:c r="A17" s="3" t="str">
        <x:v>ST25</x:v>
      </x:c>
      <x:c r="B17" s="3" t="str">
        <x:v>STDO 2.5.1-rc.2</x:v>
      </x:c>
      <x:c r="C17" s="3" t="str">
        <x:v>C13</x:v>
      </x:c>
      <x:c r="D17" s="9" t="n">
        <x:v>3</x:v>
      </x:c>
      <x:c r="E17" s="9" t="str">
        <x:v>D</x:v>
      </x:c>
      <x:c r="F17" s="9" t="str">
        <x:v>high</x:v>
      </x:c>
      <x:c r="G17" s="3" t="str">
        <x:v>ST2-AC
ST2-TICKET</x:v>
      </x:c>
      <x:c r="H17" s="3" t="str">
        <x:v>Capability and names cannot mint grants; admission and exact operation/decision boundaries precede effects.</x:v>
      </x:c>
      <x:c r="I17" s="3" t="str">
        <x:v>stdo://releases/v2.5.1-rc.2/standards/AXIOMATIC_CALCULUS.md
stdo://releases/v2.5.1-rc.2/standards/TICKET_METHOD.md</x:v>
      </x:c>
    </x:row>
    <x:row r="18" ht="49.5" customHeight="1">
      <x:c r="A18" s="3" t="str">
        <x:v>ST25</x:v>
      </x:c>
      <x:c r="B18" s="3" t="str">
        <x:v>STDO 2.5.1-rc.2</x:v>
      </x:c>
      <x:c r="C18" s="3" t="str">
        <x:v>C14</x:v>
      </x:c>
      <x:c r="D18" s="9" t="n">
        <x:v>3</x:v>
      </x:c>
      <x:c r="E18" s="9" t="str">
        <x:v>D</x:v>
      </x:c>
      <x:c r="F18" s="9" t="str">
        <x:v>high</x:v>
      </x:c>
      <x:c r="G18" s="3" t="str">
        <x:v>ST2-SPEC
ST2-TICKET</x:v>
      </x:c>
      <x:c r="H18" s="3" t="str">
        <x:v>UP-007/UP-022 define source-first non-author assessment and claim-relative reference/evidence separation.</x:v>
      </x:c>
      <x:c r="I18" s="3" t="str">
        <x:v>stdo://releases/v2.5.1-rc.2/standards/SPEC_METHOD.md
stdo://releases/v2.5.1-rc.2/standards/TICKET_METHOD.md</x:v>
      </x:c>
    </x:row>
    <x:row r="19" ht="49.5" customHeight="1">
      <x:c r="A19" s="3" t="str">
        <x:v>ST25</x:v>
      </x:c>
      <x:c r="B19" s="3" t="str">
        <x:v>STDO 2.5.1-rc.2</x:v>
      </x:c>
      <x:c r="C19" s="3" t="str">
        <x:v>C15</x:v>
      </x:c>
      <x:c r="D19" s="9" t="n">
        <x:v>3</x:v>
      </x:c>
      <x:c r="E19" s="9" t="str">
        <x:v>D</x:v>
      </x:c>
      <x:c r="F19" s="9" t="str">
        <x:v>high</x:v>
      </x:c>
      <x:c r="G19" s="3" t="str">
        <x:v>ST2-SPEC</x:v>
      </x:c>
      <x:c r="H19" s="3" t="str">
        <x:v>UP-022 requires independently source-derived expected relations and truthful treatment of stronger claims; oracle labels alone establish nothing.</x:v>
      </x:c>
      <x:c r="I19" s="3" t="str">
        <x:v>stdo://releases/v2.5.1-rc.2/standards/SPEC_METHOD.md</x:v>
      </x:c>
    </x:row>
    <x:row r="20" ht="49.5" customHeight="1">
      <x:c r="A20" s="3" t="str">
        <x:v>ST25</x:v>
      </x:c>
      <x:c r="B20" s="3" t="str">
        <x:v>STDO 2.5.1-rc.2</x:v>
      </x:c>
      <x:c r="C20" s="3" t="str">
        <x:v>C16</x:v>
      </x:c>
      <x:c r="D20" s="9" t="n">
        <x:v>3</x:v>
      </x:c>
      <x:c r="E20" s="9" t="str">
        <x:v>D</x:v>
      </x:c>
      <x:c r="F20" s="9" t="str">
        <x:v>high</x:v>
      </x:c>
      <x:c r="G20" s="3" t="str">
        <x:v>ST2-AC
ST2-SPEC</x:v>
      </x:c>
      <x:c r="H20" s="3" t="str">
        <x:v>Structural, semantic, behavioral, installed and owner-acceptance claims remain distinct.</x:v>
      </x:c>
      <x:c r="I20" s="3" t="str">
        <x:v>stdo://releases/v2.5.1-rc.2/standards/SPEC_METHOD.md
stdo://releases/v2.5.1-rc.2/standards/AXIOMATIC_CALCULUS.md</x:v>
      </x:c>
    </x:row>
    <x:row r="21" ht="49.5" customHeight="1">
      <x:c r="A21" s="3" t="str">
        <x:v>ST25</x:v>
      </x:c>
      <x:c r="B21" s="3" t="str">
        <x:v>STDO 2.5.1-rc.2</x:v>
      </x:c>
      <x:c r="C21" s="3" t="str">
        <x:v>C17</x:v>
      </x:c>
      <x:c r="D21" s="9" t="n">
        <x:v>3</x:v>
      </x:c>
      <x:c r="E21" s="9" t="str">
        <x:v>D</x:v>
      </x:c>
      <x:c r="F21" s="9" t="str">
        <x:v>high</x:v>
      </x:c>
      <x:c r="G21" s="3" t="str">
        <x:v>ST2-RF
ST2-SPEC</x:v>
      </x:c>
      <x:c r="H21" s="3" t="str">
        <x:v>A closed result names exact subject, basis, evidence, assessor, scope, residuals and invalidation conditions.</x:v>
      </x:c>
      <x:c r="I21" s="3" t="str">
        <x:v>stdo://releases/v2.5.1-rc.2/standards/SPEC_METHOD.md
stdo://releases/v2.5.1-rc.2/standards/REFERENCE_FRAME_METHOD.md</x:v>
      </x:c>
    </x:row>
    <x:row r="22" ht="49.5" customHeight="1">
      <x:c r="A22" s="3" t="str">
        <x:v>ST25</x:v>
      </x:c>
      <x:c r="B22" s="3" t="str">
        <x:v>STDO 2.5.1-rc.2</x:v>
      </x:c>
      <x:c r="C22" s="3" t="str">
        <x:v>C18</x:v>
      </x:c>
      <x:c r="D22" s="9" t="n">
        <x:v>3</x:v>
      </x:c>
      <x:c r="E22" s="9" t="str">
        <x:v>D</x:v>
      </x:c>
      <x:c r="F22" s="9" t="str">
        <x:v>high</x:v>
      </x:c>
      <x:c r="G22" s="3" t="str">
        <x:v>ST2-RF</x:v>
      </x:c>
      <x:c r="H22" s="3" t="str">
        <x:v>Frame/method qualification explicitly includes sensitivity, irrelevance, stale basis, authority and counterexample populations.</x:v>
      </x:c>
      <x:c r="I22" s="3" t="str">
        <x:v>stdo://releases/v2.5.1-rc.2/standards/REFERENCE_FRAME_METHOD.md</x:v>
      </x:c>
    </x:row>
    <x:row r="23" ht="49.5" customHeight="1">
      <x:c r="A23" s="3" t="str">
        <x:v>ST25</x:v>
      </x:c>
      <x:c r="B23" s="3" t="str">
        <x:v>STDO 2.5.1-rc.2</x:v>
      </x:c>
      <x:c r="C23" s="3" t="str">
        <x:v>C19</x:v>
      </x:c>
      <x:c r="D23" s="9" t="n">
        <x:v>2</x:v>
      </x:c>
      <x:c r="E23" s="9" t="str">
        <x:v>G</x:v>
      </x:c>
      <x:c r="F23" s="9" t="str">
        <x:v>medium</x:v>
      </x:c>
      <x:c r="G23" s="3" t="str">
        <x:v>ST2-BASE</x:v>
      </x:c>
      <x:c r="H23" s="3" t="str">
        <x:v>Installed entrypoints, baseline frames and templates support first use; substantial owner-specific material still needs acquisition. No comparative onboarding trial credited.</x:v>
      </x:c>
      <x:c r="I23" s="3" t="str">
        <x:v>stdo://releases/v2.5.1-rc.2/standards/STDO_REFERENCE_FRAME_BASELINE.md</x:v>
      </x:c>
    </x:row>
    <x:row r="24" ht="49.5" customHeight="1">
      <x:c r="A24" s="3" t="str">
        <x:v>ST25</x:v>
      </x:c>
      <x:c r="B24" s="3" t="str">
        <x:v>STDO 2.5.1-rc.2</x:v>
      </x:c>
      <x:c r="C24" s="3" t="str">
        <x:v>C20</x:v>
      </x:c>
      <x:c r="D24" s="9" t="n">
        <x:v>2</x:v>
      </x:c>
      <x:c r="E24" s="9" t="str">
        <x:v>D</x:v>
      </x:c>
      <x:c r="F24" s="9" t="str">
        <x:v>medium</x:v>
      </x:c>
      <x:c r="G24" s="3" t="str">
        <x:v>ST2-RF
ST2-BASE</x:v>
      </x:c>
      <x:c r="H24" s="3" t="str">
        <x:v>Source-linked reusable frames and activation packets are carrier-neutral; portability requires an explicitly bound basis and sufficient owner context.</x:v>
      </x:c>
      <x:c r="I24" s="3" t="str">
        <x:v>stdo://releases/v2.5.1-rc.2/standards/REFERENCE_FRAME_METHOD.md
stdo://releases/v2.5.1-rc.2/standards/STDO_REFERENCE_FRAME_BASELINE.md</x:v>
      </x:c>
    </x:row>
    <x:row r="25" ht="49.5" customHeight="1">
      <x:c r="A25" s="3" t="str">
        <x:v>ST25</x:v>
      </x:c>
      <x:c r="B25" s="3" t="str">
        <x:v>STDO 2.5.1-rc.2</x:v>
      </x:c>
      <x:c r="C25" s="3" t="str">
        <x:v>C21</x:v>
      </x:c>
      <x:c r="D25" s="9" t="n">
        <x:v>2</x:v>
      </x:c>
      <x:c r="E25" s="9" t="str">
        <x:v>D</x:v>
      </x:c>
      <x:c r="F25" s="9" t="str">
        <x:v>medium</x:v>
      </x:c>
      <x:c r="G25" s="3" t="str">
        <x:v>ST2-RF
ST2-SPEC</x:v>
      </x:c>
      <x:c r="H25" s="3" t="str">
        <x:v>Evaluation/revision and feedback-to-authority repair are explicit; this row does not assert a turnkey automated CI evaluation service.</x:v>
      </x:c>
      <x:c r="I25" s="3" t="str">
        <x:v>stdo://releases/v2.5.1-rc.2/standards/SPEC_METHOD.md
stdo://releases/v2.5.1-rc.2/standards/REFERENCE_FRAME_METHOD.md</x:v>
      </x:c>
    </x:row>
    <x:row r="26" ht="49.5" customHeight="1">
      <x:c r="A26" s="3" t="str">
        <x:v>ST25</x:v>
      </x:c>
      <x:c r="B26" s="3" t="str">
        <x:v>STDO 2.5.1-rc.2</x:v>
      </x:c>
      <x:c r="C26" s="3" t="str">
        <x:v>C22</x:v>
      </x:c>
      <x:c r="D26" s="9" t="n">
        <x:v>1</x:v>
      </x:c>
      <x:c r="E26" s="9" t="str">
        <x:v>D</x:v>
      </x:c>
      <x:c r="F26" s="9" t="str">
        <x:v>medium</x:v>
      </x:c>
      <x:c r="G26" s="3" t="str">
        <x:v>ST2-RF
ST2-SPEC</x:v>
      </x:c>
      <x:c r="H26" s="3" t="str">
        <x:v>Context, time and cost inform proportional selection. No universal instrumentation exposes whole delegated cost or peak active context.</x:v>
      </x:c>
      <x:c r="I26" s="3" t="str">
        <x:v>stdo://releases/v2.5.1-rc.2/standards/SPEC_METHOD.md
stdo://releases/v2.5.1-rc.2/standards/REFERENCE_FRAME_METHOD.md</x:v>
      </x:c>
    </x:row>
    <x:row r="27" ht="49.5" customHeight="1">
      <x:c r="A27" s="3" t="str">
        <x:v>ST25</x:v>
      </x:c>
      <x:c r="B27" s="3" t="str">
        <x:v>STDO 2.5.1-rc.2</x:v>
      </x:c>
      <x:c r="C27" s="3" t="str">
        <x:v>C23</x:v>
      </x:c>
      <x:c r="D27" s="9" t="str">
        <x:v>U</x:v>
      </x:c>
      <x:c r="E27" s="9" t="str">
        <x:v>U</x:v>
      </x:c>
      <x:c r="F27" s="9" t="str">
        <x:v>high</x:v>
      </x:c>
      <x:c r="G27" s="3" t="str">
        <x:v>ST2-SPEC</x:v>
      </x:c>
      <x:c r="H27" s="3" t="str">
        <x:v>No selected controlled effectiveness experiment for the released method was established here. Self-use and normative qualification requirements are not outcome evidence.</x:v>
      </x:c>
      <x:c r="I27" s="3" t="str">
        <x:v>stdo://releases/v2.5.1-rc.2/standards/SPEC_METHOD.md</x:v>
      </x:c>
    </x:row>
    <x:row r="28" ht="49.5" customHeight="1">
      <x:c r="A28" s="3" t="str">
        <x:v>ST25</x:v>
      </x:c>
      <x:c r="B28" s="3" t="str">
        <x:v>STDO 2.5.1-rc.2</x:v>
      </x:c>
      <x:c r="C28" s="3" t="str">
        <x:v>C24</x:v>
      </x:c>
      <x:c r="D28" s="9" t="n">
        <x:v>3</x:v>
      </x:c>
      <x:c r="E28" s="9" t="str">
        <x:v>D</x:v>
      </x:c>
      <x:c r="F28" s="9" t="str">
        <x:v>high</x:v>
      </x:c>
      <x:c r="G28" s="3" t="str">
        <x:v>ST2-RF
ST2-SPEC</x:v>
      </x:c>
      <x:c r="H28" s="3" t="str">
        <x:v>Method self-qualification is a first-class obligation with fresh ordinary constructors, freeze, independent expectations and scope-bounded assessment; completion is not inferred.</x:v>
      </x:c>
      <x:c r="I28" s="3" t="str">
        <x:v>stdo://releases/v2.5.1-rc.2/standards/SPEC_METHOD.md
stdo://releases/v2.5.1-rc.2/standards/REFERENCE_FRAME_METHOD.md</x:v>
      </x:c>
    </x:row>
    <x:row r="29" ht="49.5" customHeight="1">
      <x:c r="A29" s="3" t="str">
        <x:v>ST25</x:v>
      </x:c>
      <x:c r="B29" s="3" t="str">
        <x:v>STDO 2.5.1-rc.2</x:v>
      </x:c>
      <x:c r="C29" s="3" t="str">
        <x:v>C25</x:v>
      </x:c>
      <x:c r="D29" s="9" t="n">
        <x:v>1</x:v>
      </x:c>
      <x:c r="E29" s="9" t="str">
        <x:v>D</x:v>
      </x:c>
      <x:c r="F29" s="9" t="str">
        <x:v>medium</x:v>
      </x:c>
      <x:c r="G29" s="3" t="str">
        <x:v>ST2-AC
ST2-RF</x:v>
      </x:c>
      <x:c r="H29" s="3" t="str">
        <x:v>Context, evidence standing and exact grant laws prevent evidence or labels from minting authority as a method obligation. Explicit adversarial instruction isolation and sensitive-data egress enforcement remain realization-owned.</x:v>
      </x:c>
      <x:c r="I29" s="3" t="str">
        <x:v>stdo://releases/v2.5.1-rc.2/standards/AXIOMATIC_CALCULUS.md
stdo://releases/v2.5.1-rc.2/standards/REFERENCE_FRAME_METHOD.md</x:v>
      </x:c>
    </x:row>
    <x:row r="30" ht="49.5" customHeight="1">
      <x:c r="A30" s="3" t="str">
        <x:v>ST25</x:v>
      </x:c>
      <x:c r="B30" s="3" t="str">
        <x:v>STDO 2.5.1-rc.2</x:v>
      </x:c>
      <x:c r="C30" s="3" t="str">
        <x:v>C26</x:v>
      </x:c>
      <x:c r="D30" s="9" t="n">
        <x:v>1</x:v>
      </x:c>
      <x:c r="E30" s="9" t="str">
        <x:v>D</x:v>
      </x:c>
      <x:c r="F30" s="9" t="str">
        <x:v>high</x:v>
      </x:c>
      <x:c r="G30" s="3" t="str">
        <x:v>ST2-AC
ST2-RF</x:v>
      </x:c>
      <x:c r="H30" s="3" t="str">
        <x:v>Finite capability and permitted stop/refinement are governed. No native generic controller enforces spend, wall time, cancellation, concurrency and retry limits over every delegated execution.</x:v>
      </x:c>
      <x:c r="I30" s="3" t="str">
        <x:v>stdo://releases/v2.5.1-rc.2/standards/AXIOMATIC_CALCULUS.md
stdo://releases/v2.5.1-rc.2/standards/REFERENCE_FRAME_METHOD.md</x:v>
      </x:c>
    </x:row>
    <x:row r="31" ht="63" customHeight="1">
      <x:c r="A31" s="3" t="str">
        <x:v>ST3C</x:v>
      </x:c>
      <x:c r="B31" s="3" t="str">
        <x:v>STDO v3 — Claude candidate</x:v>
      </x:c>
      <x:c r="C31" s="3" t="str">
        <x:v>C01</x:v>
      </x:c>
      <x:c r="D31" s="9" t="n">
        <x:v>3</x:v>
      </x:c>
      <x:c r="E31" s="9" t="str">
        <x:v>D</x:v>
      </x:c>
      <x:c r="F31" s="9" t="str">
        <x:v>high</x:v>
      </x:c>
      <x:c r="G31" s="3" t="str">
        <x:v>CLA-FOUND
CLA-SPEC</x:v>
      </x:c>
      <x:c r="H31" s="3" t="str">
        <x:v>Selected owner outcome defines adequacy; interfaces inherit material obligations rather than selecting purpose.</x:v>
      </x:c>
      <x:c r="I31" s="3" t="str">
        <x:v>git show e1bcd802f2ebf3b695ef5f6e94780d3f00f29d0d:specification_methodology/v3/build_tenants/claude/standards/FOUNDATIONS.md
git show e1bcd802f2ebf3b695ef5f6e94780d3f00f29d0d:specification_methodology/v3/build_tenants/claude/standards/SPEC_METHOD.md</x:v>
      </x:c>
    </x:row>
    <x:row r="32" ht="49.5" customHeight="1">
      <x:c r="A32" s="3" t="str">
        <x:v>ST3C</x:v>
      </x:c>
      <x:c r="B32" s="3" t="str">
        <x:v>STDO v3 — Claude candidate</x:v>
      </x:c>
      <x:c r="C32" s="3" t="str">
        <x:v>C02</x:v>
      </x:c>
      <x:c r="D32" s="9" t="n">
        <x:v>3</x:v>
      </x:c>
      <x:c r="E32" s="9" t="str">
        <x:v>D</x:v>
      </x:c>
      <x:c r="F32" s="9" t="str">
        <x:v>high</x:v>
      </x:c>
      <x:c r="G32" s="3" t="str">
        <x:v>CLA-SPEC</x:v>
      </x:c>
      <x:c r="H32" s="3" t="str">
        <x:v>Core specification consumes foundations; realization/profile choices remain separate from Product meaning.</x:v>
      </x:c>
      <x:c r="I32" s="3" t="str">
        <x:v>git show e1bcd802f2ebf3b695ef5f6e94780d3f00f29d0d:specification_methodology/v3/build_tenants/claude/standards/SPEC_METHOD.md</x:v>
      </x:c>
    </x:row>
    <x:row r="33" ht="49.5" customHeight="1">
      <x:c r="A33" s="3" t="str">
        <x:v>ST3C</x:v>
      </x:c>
      <x:c r="B33" s="3" t="str">
        <x:v>STDO v3 — Claude candidate</x:v>
      </x:c>
      <x:c r="C33" s="3" t="str">
        <x:v>C03</x:v>
      </x:c>
      <x:c r="D33" s="9" t="n">
        <x:v>3</x:v>
      </x:c>
      <x:c r="E33" s="9" t="str">
        <x:v>D</x:v>
      </x:c>
      <x:c r="F33" s="9" t="str">
        <x:v>high</x:v>
      </x:c>
      <x:c r="G33" s="3" t="str">
        <x:v>CLA-FOUND</x:v>
      </x:c>
      <x:c r="H33" s="3" t="str">
        <x:v>Explicit subject/representation/interpretation, stable identity, basis, authority and distinct frame independence relations.</x:v>
      </x:c>
      <x:c r="I33" s="3" t="str">
        <x:v>git show e1bcd802f2ebf3b695ef5f6e94780d3f00f29d0d:specification_methodology/v3/build_tenants/claude/standards/FOUNDATIONS.md</x:v>
      </x:c>
    </x:row>
    <x:row r="34" ht="63" customHeight="1">
      <x:c r="A34" s="3" t="str">
        <x:v>ST3C</x:v>
      </x:c>
      <x:c r="B34" s="3" t="str">
        <x:v>STDO v3 — Claude candidate</x:v>
      </x:c>
      <x:c r="C34" s="3" t="str">
        <x:v>C04</x:v>
      </x:c>
      <x:c r="D34" s="9" t="n">
        <x:v>3</x:v>
      </x:c>
      <x:c r="E34" s="9" t="str">
        <x:v>D</x:v>
      </x:c>
      <x:c r="F34" s="9" t="str">
        <x:v>high</x:v>
      </x:c>
      <x:c r="G34" s="3" t="str">
        <x:v>CLA-FOUND
CLA-ACT</x:v>
      </x:c>
      <x:c r="H34" s="3" t="str">
        <x:v>Typed composition and conservation retain known failure A and missing obligation B through declared conjunctions.</x:v>
      </x:c>
      <x:c r="I34" s="3" t="str">
        <x:v>git show e1bcd802f2ebf3b695ef5f6e94780d3f00f29d0d:specification_methodology/v3/build_tenants/claude/standards/FOUNDATIONS.md
git show e1bcd802f2ebf3b695ef5f6e94780d3f00f29d0d:specification_methodology/v3/build_tenants/claude/standards/ACTIVATION.md</x:v>
      </x:c>
    </x:row>
    <x:row r="35" ht="49.5" customHeight="1">
      <x:c r="A35" s="3" t="str">
        <x:v>ST3C</x:v>
      </x:c>
      <x:c r="B35" s="3" t="str">
        <x:v>STDO v3 — Claude candidate</x:v>
      </x:c>
      <x:c r="C35" s="3" t="str">
        <x:v>C05</x:v>
      </x:c>
      <x:c r="D35" s="9" t="n">
        <x:v>3</x:v>
      </x:c>
      <x:c r="E35" s="9" t="str">
        <x:v>D</x:v>
      </x:c>
      <x:c r="F35" s="9" t="str">
        <x:v>high</x:v>
      </x:c>
      <x:c r="G35" s="3" t="str">
        <x:v>CLA-ACT</x:v>
      </x:c>
      <x:c r="H35" s="3" t="str">
        <x:v>Closed result reuse checks material invalidators, reopens affected support and retains independent surviving results.</x:v>
      </x:c>
      <x:c r="I35" s="3" t="str">
        <x:v>git show e1bcd802f2ebf3b695ef5f6e94780d3f00f29d0d:specification_methodology/v3/build_tenants/claude/standards/ACTIVATION.md</x:v>
      </x:c>
    </x:row>
    <x:row r="36" ht="63" customHeight="1">
      <x:c r="A36" s="3" t="str">
        <x:v>ST3C</x:v>
      </x:c>
      <x:c r="B36" s="3" t="str">
        <x:v>STDO v3 — Claude candidate</x:v>
      </x:c>
      <x:c r="C36" s="3" t="str">
        <x:v>C06</x:v>
      </x:c>
      <x:c r="D36" s="9" t="n">
        <x:v>2</x:v>
      </x:c>
      <x:c r="E36" s="9" t="str">
        <x:v>D</x:v>
      </x:c>
      <x:c r="F36" s="9" t="str">
        <x:v>medium</x:v>
      </x:c>
      <x:c r="G36" s="3" t="str">
        <x:v>CLA-SPEC
CLA-README</x:v>
      </x:c>
      <x:c r="H36" s="3" t="str">
        <x:v>Core describes release separation and profile routing; full predecessor-member restatement and successor release qualification remain unfinished.</x:v>
      </x:c>
      <x:c r="I36" s="3" t="str">
        <x:v>git show e1bcd802f2ebf3b695ef5f6e94780d3f00f29d0d:specification_methodology/v3/build_tenants/claude/standards/README.md
git show e1bcd802f2ebf3b695ef5f6e94780d3f00f29d0d:specification_methodology/v3/build_tenants/claude/standards/SPEC_METHOD.md</x:v>
      </x:c>
    </x:row>
    <x:row r="37" ht="49.5" customHeight="1">
      <x:c r="A37" s="3" t="str">
        <x:v>ST3C</x:v>
      </x:c>
      <x:c r="B37" s="3" t="str">
        <x:v>STDO v3 — Claude candidate</x:v>
      </x:c>
      <x:c r="C37" s="3" t="str">
        <x:v>C07</x:v>
      </x:c>
      <x:c r="D37" s="9" t="n">
        <x:v>3</x:v>
      </x:c>
      <x:c r="E37" s="9" t="str">
        <x:v>D</x:v>
      </x:c>
      <x:c r="F37" s="9" t="str">
        <x:v>high</x:v>
      </x:c>
      <x:c r="G37" s="3" t="str">
        <x:v>CLA-ACT</x:v>
      </x:c>
      <x:c r="H37" s="3" t="str">
        <x:v>Context selection is an explicit material-closure/projection/acquisition operation with exclusions and exact input identity.</x:v>
      </x:c>
      <x:c r="I37" s="3" t="str">
        <x:v>git show e1bcd802f2ebf3b695ef5f6e94780d3f00f29d0d:specification_methodology/v3/build_tenants/claude/standards/ACTIVATION.md</x:v>
      </x:c>
    </x:row>
    <x:row r="38" ht="49.5" customHeight="1">
      <x:c r="A38" s="3" t="str">
        <x:v>ST3C</x:v>
      </x:c>
      <x:c r="B38" s="3" t="str">
        <x:v>STDO v3 — Claude candidate</x:v>
      </x:c>
      <x:c r="C38" s="3" t="str">
        <x:v>C08</x:v>
      </x:c>
      <x:c r="D38" s="9" t="n">
        <x:v>3</x:v>
      </x:c>
      <x:c r="E38" s="9" t="str">
        <x:v>D</x:v>
      </x:c>
      <x:c r="F38" s="9" t="str">
        <x:v>high</x:v>
      </x:c>
      <x:c r="G38" s="3" t="str">
        <x:v>CLA-ACT</x:v>
      </x:c>
      <x:c r="H38" s="3" t="str">
        <x:v>Selected-context bytes are measured before acquisition against the declared cap; lawful refinement, compression, reselection or out_of_frame follows.</x:v>
      </x:c>
      <x:c r="I38" s="3" t="str">
        <x:v>git show e1bcd802f2ebf3b695ef5f6e94780d3f00f29d0d:specification_methodology/v3/build_tenants/claude/standards/ACTIVATION.md</x:v>
      </x:c>
    </x:row>
    <x:row r="39" ht="49.5" customHeight="1">
      <x:c r="A39" s="3" t="str">
        <x:v>ST3C</x:v>
      </x:c>
      <x:c r="B39" s="3" t="str">
        <x:v>STDO v3 — Claude candidate</x:v>
      </x:c>
      <x:c r="C39" s="3" t="str">
        <x:v>C09</x:v>
      </x:c>
      <x:c r="D39" s="9" t="n">
        <x:v>3</x:v>
      </x:c>
      <x:c r="E39" s="9" t="str">
        <x:v>D</x:v>
      </x:c>
      <x:c r="F39" s="9" t="str">
        <x:v>high</x:v>
      </x:c>
      <x:c r="G39" s="3" t="str">
        <x:v>CLA-ACT</x:v>
      </x:c>
      <x:c r="H39" s="3" t="str">
        <x:v>A→X refinement conserves outer predicates, invariants and cross-step seams; roles are relations rather than sufficient contexts.</x:v>
      </x:c>
      <x:c r="I39" s="3" t="str">
        <x:v>git show e1bcd802f2ebf3b695ef5f6e94780d3f00f29d0d:specification_methodology/v3/build_tenants/claude/standards/ACTIVATION.md</x:v>
      </x:c>
    </x:row>
    <x:row r="40" ht="49.5" customHeight="1">
      <x:c r="A40" s="3" t="str">
        <x:v>ST3C</x:v>
      </x:c>
      <x:c r="B40" s="3" t="str">
        <x:v>STDO v3 — Claude candidate</x:v>
      </x:c>
      <x:c r="C40" s="3" t="str">
        <x:v>C10</x:v>
      </x:c>
      <x:c r="D40" s="9" t="n">
        <x:v>3</x:v>
      </x:c>
      <x:c r="E40" s="9" t="str">
        <x:v>D</x:v>
      </x:c>
      <x:c r="F40" s="9" t="str">
        <x:v>high</x:v>
      </x:c>
      <x:c r="G40" s="3" t="str">
        <x:v>CLA-ACT</x:v>
      </x:c>
      <x:c r="H40" s="3" t="str">
        <x:v>Generic work state includes current workspace, basis, valid judgments, residuals and external-effect uncertainty; changed actors re-enter against it.</x:v>
      </x:c>
      <x:c r="I40" s="3" t="str">
        <x:v>git show e1bcd802f2ebf3b695ef5f6e94780d3f00f29d0d:specification_methodology/v3/build_tenants/claude/standards/ACTIVATION.md</x:v>
      </x:c>
    </x:row>
    <x:row r="41" ht="49.5" customHeight="1">
      <x:c r="A41" s="3" t="str">
        <x:v>ST3C</x:v>
      </x:c>
      <x:c r="B41" s="3" t="str">
        <x:v>STDO v3 — Claude candidate</x:v>
      </x:c>
      <x:c r="C41" s="3" t="str">
        <x:v>C11</x:v>
      </x:c>
      <x:c r="D41" s="9" t="n">
        <x:v>3</x:v>
      </x:c>
      <x:c r="E41" s="9" t="str">
        <x:v>D</x:v>
      </x:c>
      <x:c r="F41" s="9" t="str">
        <x:v>high</x:v>
      </x:c>
      <x:c r="G41" s="3" t="str">
        <x:v>CLA-ACT</x:v>
      </x:c>
      <x:c r="H41" s="3" t="str">
        <x:v>Five-member result algebra separates unknown evidence, missing capability and invalid basis; applications declare composite stop rules.</x:v>
      </x:c>
      <x:c r="I41" s="3" t="str">
        <x:v>git show e1bcd802f2ebf3b695ef5f6e94780d3f00f29d0d:specification_methodology/v3/build_tenants/claude/standards/ACTIVATION.md</x:v>
      </x:c>
    </x:row>
    <x:row r="42" ht="49.5" customHeight="1">
      <x:c r="A42" s="3" t="str">
        <x:v>ST3C</x:v>
      </x:c>
      <x:c r="B42" s="3" t="str">
        <x:v>STDO v3 — Claude candidate</x:v>
      </x:c>
      <x:c r="C42" s="3" t="str">
        <x:v>C12</x:v>
      </x:c>
      <x:c r="D42" s="9" t="n">
        <x:v>3</x:v>
      </x:c>
      <x:c r="E42" s="9" t="str">
        <x:v>D</x:v>
      </x:c>
      <x:c r="F42" s="9" t="str">
        <x:v>high</x:v>
      </x:c>
      <x:c r="G42" s="3" t="str">
        <x:v>CLA-ACT</x:v>
      </x:c>
      <x:c r="H42" s="3" t="str">
        <x:v>Unknown external effects require reconciliation, yield or stop before repetition; total handling explicitly does not imply idempotence.</x:v>
      </x:c>
      <x:c r="I42" s="3" t="str">
        <x:v>git show e1bcd802f2ebf3b695ef5f6e94780d3f00f29d0d:specification_methodology/v3/build_tenants/claude/standards/ACTIVATION.md</x:v>
      </x:c>
    </x:row>
    <x:row r="43" ht="63" customHeight="1">
      <x:c r="A43" s="3" t="str">
        <x:v>ST3C</x:v>
      </x:c>
      <x:c r="B43" s="3" t="str">
        <x:v>STDO v3 — Claude candidate</x:v>
      </x:c>
      <x:c r="C43" s="3" t="str">
        <x:v>C13</x:v>
      </x:c>
      <x:c r="D43" s="9" t="n">
        <x:v>3</x:v>
      </x:c>
      <x:c r="E43" s="9" t="str">
        <x:v>D</x:v>
      </x:c>
      <x:c r="F43" s="9" t="str">
        <x:v>high</x:v>
      </x:c>
      <x:c r="G43" s="3" t="str">
        <x:v>CLA-FOUND
CLA-ACT</x:v>
      </x:c>
      <x:c r="H43" s="3" t="str">
        <x:v>Exact inherited operation grant and deterministic/human admission precede effects; frame/actor selection grants no authority.</x:v>
      </x:c>
      <x:c r="I43" s="3" t="str">
        <x:v>git show e1bcd802f2ebf3b695ef5f6e94780d3f00f29d0d:specification_methodology/v3/build_tenants/claude/standards/FOUNDATIONS.md
git show e1bcd802f2ebf3b695ef5f6e94780d3f00f29d0d:specification_methodology/v3/build_tenants/claude/standards/ACTIVATION.md</x:v>
      </x:c>
    </x:row>
    <x:row r="44" ht="49.5" customHeight="1">
      <x:c r="A44" s="3" t="str">
        <x:v>ST3C</x:v>
      </x:c>
      <x:c r="B44" s="3" t="str">
        <x:v>STDO v3 — Claude candidate</x:v>
      </x:c>
      <x:c r="C44" s="3" t="str">
        <x:v>C14</x:v>
      </x:c>
      <x:c r="D44" s="9" t="n">
        <x:v>3</x:v>
      </x:c>
      <x:c r="E44" s="9" t="str">
        <x:v>D</x:v>
      </x:c>
      <x:c r="F44" s="9" t="str">
        <x:v>high</x:v>
      </x:c>
      <x:c r="G44" s="3" t="str">
        <x:v>CLA-EVAL</x:v>
      </x:c>
      <x:c r="H44" s="3" t="str">
        <x:v>Non-author, source-first, immutable-subject assessment; same-family independence requires declared policy rather than assumption.</x:v>
      </x:c>
      <x:c r="I44" s="3" t="str">
        <x:v>git show e1bcd802f2ebf3b695ef5f6e94780d3f00f29d0d:specification_methodology/v3/build_tenants/claude/standards/EVALUATION.md</x:v>
      </x:c>
    </x:row>
    <x:row r="45" ht="49.5" customHeight="1">
      <x:c r="A45" s="3" t="str">
        <x:v>ST3C</x:v>
      </x:c>
      <x:c r="B45" s="3" t="str">
        <x:v>STDO v3 — Claude candidate</x:v>
      </x:c>
      <x:c r="C45" s="3" t="str">
        <x:v>C15</x:v>
      </x:c>
      <x:c r="D45" s="9" t="n">
        <x:v>3</x:v>
      </x:c>
      <x:c r="E45" s="9" t="str">
        <x:v>D</x:v>
      </x:c>
      <x:c r="F45" s="9" t="str">
        <x:v>high</x:v>
      </x:c>
      <x:c r="G45" s="3" t="str">
        <x:v>CLA-EVAL</x:v>
      </x:c>
      <x:c r="H45" s="3" t="str">
        <x:v>Claim relations and falsifiers precede witness selection; fresh ordinary constructors are frozen before material reference exposure.</x:v>
      </x:c>
      <x:c r="I45" s="3" t="str">
        <x:v>git show e1bcd802f2ebf3b695ef5f6e94780d3f00f29d0d:specification_methodology/v3/build_tenants/claude/standards/EVALUATION.md</x:v>
      </x:c>
    </x:row>
    <x:row r="46" ht="49.5" customHeight="1">
      <x:c r="A46" s="3" t="str">
        <x:v>ST3C</x:v>
      </x:c>
      <x:c r="B46" s="3" t="str">
        <x:v>STDO v3 — Claude candidate</x:v>
      </x:c>
      <x:c r="C46" s="3" t="str">
        <x:v>C16</x:v>
      </x:c>
      <x:c r="D46" s="9" t="n">
        <x:v>3</x:v>
      </x:c>
      <x:c r="E46" s="9" t="str">
        <x:v>D</x:v>
      </x:c>
      <x:c r="F46" s="9" t="str">
        <x:v>high</x:v>
      </x:c>
      <x:c r="G46" s="3" t="str">
        <x:v>CLA-EVAL</x:v>
      </x:c>
      <x:c r="H46" s="3" t="str">
        <x:v>Law, observation, judgment and owner disposition are separate; a green checker or constructor self-review cannot close acceptance.</x:v>
      </x:c>
      <x:c r="I46" s="3" t="str">
        <x:v>git show e1bcd802f2ebf3b695ef5f6e94780d3f00f29d0d:specification_methodology/v3/build_tenants/claude/standards/EVALUATION.md</x:v>
      </x:c>
    </x:row>
    <x:row r="47" ht="63" customHeight="1">
      <x:c r="A47" s="3" t="str">
        <x:v>ST3C</x:v>
      </x:c>
      <x:c r="B47" s="3" t="str">
        <x:v>STDO v3 — Claude candidate</x:v>
      </x:c>
      <x:c r="C47" s="3" t="str">
        <x:v>C17</x:v>
      </x:c>
      <x:c r="D47" s="9" t="n">
        <x:v>3</x:v>
      </x:c>
      <x:c r="E47" s="9" t="str">
        <x:v>D</x:v>
      </x:c>
      <x:c r="F47" s="9" t="str">
        <x:v>high</x:v>
      </x:c>
      <x:c r="G47" s="3" t="str">
        <x:v>CLA-ACT
CLA-EVAL</x:v>
      </x:c>
      <x:c r="H47" s="3" t="str">
        <x:v>Closed results and verdict quantifiers bind exact subject, basis, assessor, evidence population, residuals and invalidators.</x:v>
      </x:c>
      <x:c r="I47" s="3" t="str">
        <x:v>git show e1bcd802f2ebf3b695ef5f6e94780d3f00f29d0d:specification_methodology/v3/build_tenants/claude/standards/ACTIVATION.md
git show e1bcd802f2ebf3b695ef5f6e94780d3f00f29d0d:specification_methodology/v3/build_tenants/claude/standards/EVALUATION.md</x:v>
      </x:c>
    </x:row>
    <x:row r="48" ht="49.5" customHeight="1">
      <x:c r="A48" s="3" t="str">
        <x:v>ST3C</x:v>
      </x:c>
      <x:c r="B48" s="3" t="str">
        <x:v>STDO v3 — Claude candidate</x:v>
      </x:c>
      <x:c r="C48" s="3" t="str">
        <x:v>C18</x:v>
      </x:c>
      <x:c r="D48" s="9" t="n">
        <x:v>3</x:v>
      </x:c>
      <x:c r="E48" s="9" t="str">
        <x:v>D</x:v>
      </x:c>
      <x:c r="F48" s="9" t="str">
        <x:v>high</x:v>
      </x:c>
      <x:c r="G48" s="3" t="str">
        <x:v>CLA-EVAL</x:v>
      </x:c>
      <x:c r="H48" s="3" t="str">
        <x:v>Qualification enumerates positive/boundary/falsifying cases across activation, conjunction, revision, applicability and authority.</x:v>
      </x:c>
      <x:c r="I48" s="3" t="str">
        <x:v>git show e1bcd802f2ebf3b695ef5f6e94780d3f00f29d0d:specification_methodology/v3/build_tenants/claude/standards/EVALUATION.md</x:v>
      </x:c>
    </x:row>
    <x:row r="49" ht="49.5" customHeight="1">
      <x:c r="A49" s="3" t="str">
        <x:v>ST3C</x:v>
      </x:c>
      <x:c r="B49" s="3" t="str">
        <x:v>STDO v3 — Claude candidate</x:v>
      </x:c>
      <x:c r="C49" s="3" t="str">
        <x:v>C19</x:v>
      </x:c>
      <x:c r="D49" s="9" t="n">
        <x:v>2</x:v>
      </x:c>
      <x:c r="E49" s="9" t="str">
        <x:v>G</x:v>
      </x:c>
      <x:c r="F49" s="9" t="str">
        <x:v>medium</x:v>
      </x:c>
      <x:c r="G49" s="3" t="str">
        <x:v>CLA-README</x:v>
      </x:c>
      <x:c r="H49" s="3" t="str">
        <x:v>README routes learning, activation, resumption and review. Ordinary cold actors have used selected frames; output adequacy remains independently unassessed.</x:v>
      </x:c>
      <x:c r="I49" s="3" t="str">
        <x:v>git show e1bcd802f2ebf3b695ef5f6e94780d3f00f29d0d:specification_methodology/v3/build_tenants/claude/standards/README.md</x:v>
      </x:c>
    </x:row>
    <x:row r="50" ht="90" customHeight="1">
      <x:c r="A50" s="3" t="str">
        <x:v>ST3C</x:v>
      </x:c>
      <x:c r="B50" s="3" t="str">
        <x:v>STDO v3 — Claude candidate</x:v>
      </x:c>
      <x:c r="C50" s="3" t="str">
        <x:v>C20</x:v>
      </x:c>
      <x:c r="D50" s="9" t="n">
        <x:v>2</x:v>
      </x:c>
      <x:c r="E50" s="9" t="str">
        <x:v>D</x:v>
      </x:c>
      <x:c r="F50" s="9" t="str">
        <x:v>medium</x:v>
      </x:c>
      <x:c r="G50" s="3" t="str">
        <x:v>CLA-FOUND
CLA-ACT
CLA-README</x:v>
      </x:c>
      <x:c r="H50" s="3" t="str">
        <x:v>Reusable source-linked frames and symbolic projections preserve an explicit interpretation contract; not an installed immutable successor distribution.</x:v>
      </x:c>
      <x:c r="I50" s="3" t="str">
        <x:v>git show e1bcd802f2ebf3b695ef5f6e94780d3f00f29d0d:specification_methodology/v3/build_tenants/claude/standards/README.md
git show e1bcd802f2ebf3b695ef5f6e94780d3f00f29d0d:specification_methodology/v3/build_tenants/claude/standards/FOUNDATIONS.md
git show e1bcd802f2ebf3b695ef5f6e94780d3f00f29d0d:specification_methodology/v3/build_tenants/claude/standards/ACTIVATION.md</x:v>
      </x:c>
    </x:row>
    <x:row r="51" ht="63" customHeight="1">
      <x:c r="A51" s="3" t="str">
        <x:v>ST3C</x:v>
      </x:c>
      <x:c r="B51" s="3" t="str">
        <x:v>STDO v3 — Claude candidate</x:v>
      </x:c>
      <x:c r="C51" s="3" t="str">
        <x:v>C21</x:v>
      </x:c>
      <x:c r="D51" s="9" t="n">
        <x:v>2</x:v>
      </x:c>
      <x:c r="E51" s="9" t="str">
        <x:v>L</x:v>
      </x:c>
      <x:c r="F51" s="9" t="str">
        <x:v>medium</x:v>
      </x:c>
      <x:c r="G51" s="3" t="str">
        <x:v>CLA-EVAL
CLA-F01</x:v>
      </x:c>
      <x:c r="H51" s="3" t="str">
        <x:v>A concrete frozen-run/evidence workflow accompanies documented revision. Current cold outputs await independent judgments; no broad CI outcome credited.</x:v>
      </x:c>
      <x:c r="I51" s="3" t="str">
        <x:v>git show e1bcd802f2ebf3b695ef5f6e94780d3f00f29d0d:specification_methodology/v3/build_tenants/claude/standards/EVALUATION.md
git show e1bcd802f2ebf3b695ef5f6e94780d3f00f29d0d:specification_methodology/v3/build_tenants/claude/qualification/runs/F-01/RUNS.md</x:v>
      </x:c>
    </x:row>
    <x:row r="52" ht="63" customHeight="1">
      <x:c r="A52" s="3" t="str">
        <x:v>ST3C</x:v>
      </x:c>
      <x:c r="B52" s="3" t="str">
        <x:v>STDO v3 — Claude candidate</x:v>
      </x:c>
      <x:c r="C52" s="3" t="str">
        <x:v>C22</x:v>
      </x:c>
      <x:c r="D52" s="9" t="n">
        <x:v>2</x:v>
      </x:c>
      <x:c r="E52" s="9" t="str">
        <x:v>L</x:v>
      </x:c>
      <x:c r="F52" s="9" t="str">
        <x:v>high</x:v>
      </x:c>
      <x:c r="G52" s="3" t="str">
        <x:v>CLA-ACT
CLA-F01</x:v>
      </x:c>
      <x:c r="H52" s="3" t="str">
        <x:v>Four cold task starts record whole transmitted inputs, context/output tokens, calibration, traces and costs. Selected-frame bytes differ from provider usage; peak active context is not established.</x:v>
      </x:c>
      <x:c r="I52" s="3" t="str">
        <x:v>git show e1bcd802f2ebf3b695ef5f6e94780d3f00f29d0d:specification_methodology/v3/build_tenants/claude/standards/ACTIVATION.md
git show e1bcd802f2ebf3b695ef5f6e94780d3f00f29d0d:specification_methodology/v3/build_tenants/claude/qualification/runs/F-01/RUNS.md</x:v>
      </x:c>
    </x:row>
    <x:row r="53" ht="49.5" customHeight="1">
      <x:c r="A53" s="3" t="str">
        <x:v>ST3C</x:v>
      </x:c>
      <x:c r="B53" s="3" t="str">
        <x:v>STDO v3 — Claude candidate</x:v>
      </x:c>
      <x:c r="C53" s="3" t="str">
        <x:v>C23</x:v>
      </x:c>
      <x:c r="D53" s="9" t="str">
        <x:v>U</x:v>
      </x:c>
      <x:c r="E53" s="9" t="str">
        <x:v>U</x:v>
      </x:c>
      <x:c r="F53" s="9" t="str">
        <x:v>high</x:v>
      </x:c>
      <x:c r="G53" s="3" t="str">
        <x:v>CLA-F01</x:v>
      </x:c>
      <x:c r="H53" s="3" t="str">
        <x:v>F-01 measures four cold task starts and resource use, but the runner expressly did not assess output adequacy. Those observations support C22; effectiveness is unresolved.</x:v>
      </x:c>
      <x:c r="I53" s="3" t="str">
        <x:v>git show e1bcd802f2ebf3b695ef5f6e94780d3f00f29d0d:specification_methodology/v3/build_tenants/claude/qualification/runs/F-01/RUNS.md</x:v>
      </x:c>
    </x:row>
    <x:row r="54" ht="63" customHeight="1">
      <x:c r="A54" s="3" t="str">
        <x:v>ST3C</x:v>
      </x:c>
      <x:c r="B54" s="3" t="str">
        <x:v>STDO v3 — Claude candidate</x:v>
      </x:c>
      <x:c r="C54" s="3" t="str">
        <x:v>C24</x:v>
      </x:c>
      <x:c r="D54" s="9" t="n">
        <x:v>3</x:v>
      </x:c>
      <x:c r="E54" s="9" t="str">
        <x:v>D</x:v>
      </x:c>
      <x:c r="F54" s="9" t="str">
        <x:v>high</x:v>
      </x:c>
      <x:c r="G54" s="3" t="str">
        <x:v>CLA-EVAL
CLA-F01</x:v>
      </x:c>
      <x:c r="H54" s="3" t="str">
        <x:v>Fresh source-based qualification and faulty-condition populations are explicit obligations. F-01 is constructor evidence pending assessment, not completed whole-method self-qualification.</x:v>
      </x:c>
      <x:c r="I54" s="3" t="str">
        <x:v>git show e1bcd802f2ebf3b695ef5f6e94780d3f00f29d0d:specification_methodology/v3/build_tenants/claude/standards/EVALUATION.md
git show e1bcd802f2ebf3b695ef5f6e94780d3f00f29d0d:specification_methodology/v3/build_tenants/claude/qualification/runs/F-01/RUNS.md</x:v>
      </x:c>
    </x:row>
    <x:row r="55" ht="63" customHeight="1">
      <x:c r="A55" s="3" t="str">
        <x:v>ST3C</x:v>
      </x:c>
      <x:c r="B55" s="3" t="str">
        <x:v>STDO v3 — Claude candidate</x:v>
      </x:c>
      <x:c r="C55" s="3" t="str">
        <x:v>C25</x:v>
      </x:c>
      <x:c r="D55" s="9" t="n">
        <x:v>1</x:v>
      </x:c>
      <x:c r="E55" s="9" t="str">
        <x:v>D</x:v>
      </x:c>
      <x:c r="F55" s="9" t="str">
        <x:v>medium</x:v>
      </x:c>
      <x:c r="G55" s="3" t="str">
        <x:v>CLA-FOUND
CLA-ACT</x:v>
      </x:c>
      <x:c r="H55" s="3" t="str">
        <x:v>Context, evidence standing and exact grant laws prevent evidence or labels from minting authority as a method obligation. Explicit adversarial instruction isolation and sensitive-data egress enforcement remain realization-owned.</x:v>
      </x:c>
      <x:c r="I55" s="3" t="str">
        <x:v>git show e1bcd802f2ebf3b695ef5f6e94780d3f00f29d0d:specification_methodology/v3/build_tenants/claude/standards/FOUNDATIONS.md
git show e1bcd802f2ebf3b695ef5f6e94780d3f00f29d0d:specification_methodology/v3/build_tenants/claude/standards/ACTIVATION.md</x:v>
      </x:c>
    </x:row>
    <x:row r="56" ht="63" customHeight="1">
      <x:c r="A56" s="3" t="str">
        <x:v>ST3C</x:v>
      </x:c>
      <x:c r="B56" s="3" t="str">
        <x:v>STDO v3 — Claude candidate</x:v>
      </x:c>
      <x:c r="C56" s="3" t="str">
        <x:v>C26</x:v>
      </x:c>
      <x:c r="D56" s="9" t="n">
        <x:v>1</x:v>
      </x:c>
      <x:c r="E56" s="9" t="str">
        <x:v>D</x:v>
      </x:c>
      <x:c r="F56" s="9" t="str">
        <x:v>high</x:v>
      </x:c>
      <x:c r="G56" s="3" t="str">
        <x:v>CLA-FOUND
CLA-ACT</x:v>
      </x:c>
      <x:c r="H56" s="3" t="str">
        <x:v>Finite capability and permitted stop/refinement are governed. No native generic controller enforces spend, wall time, cancellation, concurrency and retry limits over every delegated execution.</x:v>
      </x:c>
      <x:c r="I56" s="3" t="str">
        <x:v>git show e1bcd802f2ebf3b695ef5f6e94780d3f00f29d0d:specification_methodology/v3/build_tenants/claude/standards/FOUNDATIONS.md
git show e1bcd802f2ebf3b695ef5f6e94780d3f00f29d0d:specification_methodology/v3/build_tenants/claude/standards/ACTIVATION.md</x:v>
      </x:c>
    </x:row>
    <x:row r="57" ht="63" customHeight="1">
      <x:c r="A57" s="3" t="str">
        <x:v>ST3X</x:v>
      </x:c>
      <x:c r="B57" s="3" t="str">
        <x:v>STDO v3 — Codex candidate</x:v>
      </x:c>
      <x:c r="C57" s="3" t="str">
        <x:v>C01</x:v>
      </x:c>
      <x:c r="D57" s="9" t="n">
        <x:v>3</x:v>
      </x:c>
      <x:c r="E57" s="9" t="str">
        <x:v>D</x:v>
      </x:c>
      <x:c r="F57" s="9" t="str">
        <x:v>high</x:v>
      </x:c>
      <x:c r="G57" s="3" t="str">
        <x:v>CDX-SPEC
CDX-FOUND</x:v>
      </x:c>
      <x:c r="H57" s="3" t="str">
        <x:v>Owned outcome, adequate observation and reserved value choices govern all construction; finite capacity alone does not select a purpose.</x:v>
      </x:c>
      <x:c r="I57" s="3" t="str">
        <x:v>git show 427a0deb39b7cd8e298b3b2ebc126c052f056d8a:specification_methodology/v3/build_tenants/codex/successor/standards/FOUNDATIONS.md
git show 427a0deb39b7cd8e298b3b2ebc126c052f056d8a:specification_methodology/v3/build_tenants/codex/successor/standards/SPEC_METHOD.md</x:v>
      </x:c>
    </x:row>
    <x:row r="58" ht="63" customHeight="1">
      <x:c r="A58" s="3" t="str">
        <x:v>ST3X</x:v>
      </x:c>
      <x:c r="B58" s="3" t="str">
        <x:v>STDO v3 — Codex candidate</x:v>
      </x:c>
      <x:c r="C58" s="3" t="str">
        <x:v>C02</x:v>
      </x:c>
      <x:c r="D58" s="9" t="n">
        <x:v>3</x:v>
      </x:c>
      <x:c r="E58" s="9" t="str">
        <x:v>D</x:v>
      </x:c>
      <x:c r="F58" s="9" t="str">
        <x:v>high</x:v>
      </x:c>
      <x:c r="G58" s="3" t="str">
        <x:v>CDX-SPEC
CDX-README</x:v>
      </x:c>
      <x:c r="H58" s="3" t="str">
        <x:v>Constitutional construction and detailed method owners remain authoritative; explanatory consolidation creates no new authority hierarchy.</x:v>
      </x:c>
      <x:c r="I58" s="3" t="str">
        <x:v>git show 427a0deb39b7cd8e298b3b2ebc126c052f056d8a:specification_methodology/v3/build_tenants/codex/successor/standards/README.md
git show 427a0deb39b7cd8e298b3b2ebc126c052f056d8a:specification_methodology/v3/build_tenants/codex/successor/standards/SPEC_METHOD.md</x:v>
      </x:c>
    </x:row>
    <x:row r="59" ht="49.5" customHeight="1">
      <x:c r="A59" s="3" t="str">
        <x:v>ST3X</x:v>
      </x:c>
      <x:c r="B59" s="3" t="str">
        <x:v>STDO v3 — Codex candidate</x:v>
      </x:c>
      <x:c r="C59" s="3" t="str">
        <x:v>C03</x:v>
      </x:c>
      <x:c r="D59" s="9" t="n">
        <x:v>3</x:v>
      </x:c>
      <x:c r="E59" s="9" t="str">
        <x:v>D</x:v>
      </x:c>
      <x:c r="F59" s="9" t="str">
        <x:v>high</x:v>
      </x:c>
      <x:c r="G59" s="3" t="str">
        <x:v>CDX-FOUND</x:v>
      </x:c>
      <x:c r="H59" s="3" t="str">
        <x:v>Declared bounded interpretations, identity/state/representation and evidence remain separate; matching names do not merge contexts.</x:v>
      </x:c>
      <x:c r="I59" s="3" t="str">
        <x:v>git show 427a0deb39b7cd8e298b3b2ebc126c052f056d8a:specification_methodology/v3/build_tenants/codex/successor/standards/FOUNDATIONS.md</x:v>
      </x:c>
    </x:row>
    <x:row r="60" ht="63" customHeight="1">
      <x:c r="A60" s="3" t="str">
        <x:v>ST3X</x:v>
      </x:c>
      <x:c r="B60" s="3" t="str">
        <x:v>STDO v3 — Codex candidate</x:v>
      </x:c>
      <x:c r="C60" s="3" t="str">
        <x:v>C04</x:v>
      </x:c>
      <x:c r="D60" s="9" t="n">
        <x:v>3</x:v>
      </x:c>
      <x:c r="E60" s="9" t="str">
        <x:v>D</x:v>
      </x:c>
      <x:c r="F60" s="9" t="str">
        <x:v>high</x:v>
      </x:c>
      <x:c r="G60" s="3" t="str">
        <x:v>CDX-FOUND
CDX-RF</x:v>
      </x:c>
      <x:c r="H60" s="3" t="str">
        <x:v>Typed joins and conjunction preserve original coordinates, known failures, uncovered required coverage and authority.</x:v>
      </x:c>
      <x:c r="I60" s="3" t="str">
        <x:v>git show 427a0deb39b7cd8e298b3b2ebc126c052f056d8a:specification_methodology/v3/build_tenants/codex/successor/standards/FOUNDATIONS.md
git show 427a0deb39b7cd8e298b3b2ebc126c052f056d8a:specification_methodology/v3/build_tenants/codex/successor/standards/REFERENCE_FRAME_METHOD.md</x:v>
      </x:c>
    </x:row>
    <x:row r="61" ht="63" customHeight="1">
      <x:c r="A61" s="3" t="str">
        <x:v>ST3X</x:v>
      </x:c>
      <x:c r="B61" s="3" t="str">
        <x:v>STDO v3 — Codex candidate</x:v>
      </x:c>
      <x:c r="C61" s="3" t="str">
        <x:v>C05</x:v>
      </x:c>
      <x:c r="D61" s="9" t="n">
        <x:v>3</x:v>
      </x:c>
      <x:c r="E61" s="9" t="str">
        <x:v>D</x:v>
      </x:c>
      <x:c r="F61" s="9" t="str">
        <x:v>high</x:v>
      </x:c>
      <x:c r="G61" s="3" t="str">
        <x:v>CDX-SPEC
CDX-FOUND</x:v>
      </x:c>
      <x:c r="H61" s="3" t="str">
        <x:v>Changed inputs, basis, owner/root relations, trace, rules or configuration invalidate affected support before reliance.</x:v>
      </x:c>
      <x:c r="I61" s="3" t="str">
        <x:v>git show 427a0deb39b7cd8e298b3b2ebc126c052f056d8a:specification_methodology/v3/build_tenants/codex/successor/standards/FOUNDATIONS.md
git show 427a0deb39b7cd8e298b3b2ebc126c052f056d8a:specification_methodology/v3/build_tenants/codex/successor/standards/SPEC_METHOD.md</x:v>
      </x:c>
    </x:row>
    <x:row r="62" ht="63" customHeight="1">
      <x:c r="A62" s="3" t="str">
        <x:v>ST3X</x:v>
      </x:c>
      <x:c r="B62" s="3" t="str">
        <x:v>STDO v3 — Codex candidate</x:v>
      </x:c>
      <x:c r="C62" s="3" t="str">
        <x:v>C06</x:v>
      </x:c>
      <x:c r="D62" s="9" t="n">
        <x:v>3</x:v>
      </x:c>
      <x:c r="E62" s="9" t="str">
        <x:v>D</x:v>
      </x:c>
      <x:c r="F62" s="9" t="str">
        <x:v>high</x:v>
      </x:c>
      <x:c r="G62" s="3" t="str">
        <x:v>CDX-REL
CDX-README</x:v>
      </x:c>
      <x:c r="H62" s="3" t="str">
        <x:v>Detailed release/adoption contract is restated in the candidate. This is source coverage, not a successor release or completed qualification.</x:v>
      </x:c>
      <x:c r="I62" s="3" t="str">
        <x:v>git show 427a0deb39b7cd8e298b3b2ebc126c052f056d8a:specification_methodology/v3/build_tenants/codex/successor/standards/README.md
git show 427a0deb39b7cd8e298b3b2ebc126c052f056d8a:specification_methodology/v3/build_tenants/codex/successor/standards/RELEASE_METHOD.md</x:v>
      </x:c>
    </x:row>
    <x:row r="63" ht="63" customHeight="1">
      <x:c r="A63" s="3" t="str">
        <x:v>ST3X</x:v>
      </x:c>
      <x:c r="B63" s="3" t="str">
        <x:v>STDO v3 — Codex candidate</x:v>
      </x:c>
      <x:c r="C63" s="3" t="str">
        <x:v>C07</x:v>
      </x:c>
      <x:c r="D63" s="9" t="n">
        <x:v>3</x:v>
      </x:c>
      <x:c r="E63" s="9" t="str">
        <x:v>D</x:v>
      </x:c>
      <x:c r="F63" s="9" t="str">
        <x:v>high</x:v>
      </x:c>
      <x:c r="G63" s="3" t="str">
        <x:v>CDX-RF
CDX-README</x:v>
      </x:c>
      <x:c r="H63" s="3" t="str">
        <x:v>Sufficient projected frames acquire exact owner clauses; explicit exclusions cannot narrow required material coverage.</x:v>
      </x:c>
      <x:c r="I63" s="3" t="str">
        <x:v>git show 427a0deb39b7cd8e298b3b2ebc126c052f056d8a:specification_methodology/v3/build_tenants/codex/successor/standards/README.md
git show 427a0deb39b7cd8e298b3b2ebc126c052f056d8a:specification_methodology/v3/build_tenants/codex/successor/standards/REFERENCE_FRAME_METHOD.md</x:v>
      </x:c>
    </x:row>
    <x:row r="64" ht="63" customHeight="1">
      <x:c r="A64" s="3" t="str">
        <x:v>ST3X</x:v>
      </x:c>
      <x:c r="B64" s="3" t="str">
        <x:v>STDO v3 — Codex candidate</x:v>
      </x:c>
      <x:c r="C64" s="3" t="str">
        <x:v>C08</x:v>
      </x:c>
      <x:c r="D64" s="9" t="n">
        <x:v>2</x:v>
      </x:c>
      <x:c r="E64" s="9" t="str">
        <x:v>D</x:v>
      </x:c>
      <x:c r="F64" s="9" t="str">
        <x:v>high</x:v>
      </x:c>
      <x:c r="G64" s="3" t="str">
        <x:v>CDX-FOUND
CDX-RF</x:v>
      </x:c>
      <x:c r="H64" s="3" t="str">
        <x:v>Material sufficiency, actor capability and honest misfit are first-class; generic law requires no universal numeric gate or resource ledger.</x:v>
      </x:c>
      <x:c r="I64" s="3" t="str">
        <x:v>git show 427a0deb39b7cd8e298b3b2ebc126c052f056d8a:specification_methodology/v3/build_tenants/codex/successor/standards/FOUNDATIONS.md
git show 427a0deb39b7cd8e298b3b2ebc126c052f056d8a:specification_methodology/v3/build_tenants/codex/successor/standards/REFERENCE_FRAME_METHOD.md</x:v>
      </x:c>
    </x:row>
    <x:row r="65" ht="63" customHeight="1">
      <x:c r="A65" s="3" t="str">
        <x:v>ST3X</x:v>
      </x:c>
      <x:c r="B65" s="3" t="str">
        <x:v>STDO v3 — Codex candidate</x:v>
      </x:c>
      <x:c r="C65" s="3" t="str">
        <x:v>C09</x:v>
      </x:c>
      <x:c r="D65" s="9" t="n">
        <x:v>3</x:v>
      </x:c>
      <x:c r="E65" s="9" t="str">
        <x:v>D</x:v>
      </x:c>
      <x:c r="F65" s="9" t="str">
        <x:v>high</x:v>
      </x:c>
      <x:c r="G65" s="3" t="str">
        <x:v>CDX-FOUND
CDX-RF</x:v>
      </x:c>
      <x:c r="H65" s="3" t="str">
        <x:v>Bounded transformation instances and cross-frame joins preserve the enclosing contract; primitive families are not compulsory pipeline stages.</x:v>
      </x:c>
      <x:c r="I65" s="3" t="str">
        <x:v>git show 427a0deb39b7cd8e298b3b2ebc126c052f056d8a:specification_methodology/v3/build_tenants/codex/successor/standards/FOUNDATIONS.md
git show 427a0deb39b7cd8e298b3b2ebc126c052f056d8a:specification_methodology/v3/build_tenants/codex/successor/standards/REFERENCE_FRAME_METHOD.md</x:v>
      </x:c>
    </x:row>
    <x:row r="66" ht="63" customHeight="1">
      <x:c r="A66" s="3" t="str">
        <x:v>ST3X</x:v>
      </x:c>
      <x:c r="B66" s="3" t="str">
        <x:v>STDO v3 — Codex candidate</x:v>
      </x:c>
      <x:c r="C66" s="3" t="str">
        <x:v>C10</x:v>
      </x:c>
      <x:c r="D66" s="9" t="n">
        <x:v>3</x:v>
      </x:c>
      <x:c r="E66" s="9" t="str">
        <x:v>D</x:v>
      </x:c>
      <x:c r="F66" s="9" t="str">
        <x:v>high</x:v>
      </x:c>
      <x:c r="G66" s="3" t="str">
        <x:v>CDX-FOUND
CDX-SPEC</x:v>
      </x:c>
      <x:c r="H66" s="3" t="str">
        <x:v>Resume over observed current work state, retain applicable support and reopen changed dependencies without universal history reload.</x:v>
      </x:c>
      <x:c r="I66" s="3" t="str">
        <x:v>git show 427a0deb39b7cd8e298b3b2ebc126c052f056d8a:specification_methodology/v3/build_tenants/codex/successor/standards/FOUNDATIONS.md
git show 427a0deb39b7cd8e298b3b2ebc126c052f056d8a:specification_methodology/v3/build_tenants/codex/successor/standards/SPEC_METHOD.md</x:v>
      </x:c>
    </x:row>
    <x:row r="67" ht="63" customHeight="1">
      <x:c r="A67" s="3" t="str">
        <x:v>ST3X</x:v>
      </x:c>
      <x:c r="B67" s="3" t="str">
        <x:v>STDO v3 — Codex candidate</x:v>
      </x:c>
      <x:c r="C67" s="3" t="str">
        <x:v>C11</x:v>
      </x:c>
      <x:c r="D67" s="9" t="n">
        <x:v>3</x:v>
      </x:c>
      <x:c r="E67" s="9" t="str">
        <x:v>D</x:v>
      </x:c>
      <x:c r="F67" s="9" t="str">
        <x:v>high</x:v>
      </x:c>
      <x:c r="G67" s="3" t="str">
        <x:v>CDX-RF
CDX-FOUND</x:v>
      </x:c>
      <x:c r="H67" s="3" t="str">
        <x:v>Semantic results distinguish falsified/indeterminate/out_of_frame/invalid_basis; authority disposition and next action are separate.</x:v>
      </x:c>
      <x:c r="I67" s="3" t="str">
        <x:v>git show 427a0deb39b7cd8e298b3b2ebc126c052f056d8a:specification_methodology/v3/build_tenants/codex/successor/standards/FOUNDATIONS.md
git show 427a0deb39b7cd8e298b3b2ebc126c052f056d8a:specification_methodology/v3/build_tenants/codex/successor/standards/REFERENCE_FRAME_METHOD.md</x:v>
      </x:c>
    </x:row>
    <x:row r="68" ht="49.5" customHeight="1">
      <x:c r="A68" s="3" t="str">
        <x:v>ST3X</x:v>
      </x:c>
      <x:c r="B68" s="3" t="str">
        <x:v>STDO v3 — Codex candidate</x:v>
      </x:c>
      <x:c r="C68" s="3" t="str">
        <x:v>C12</x:v>
      </x:c>
      <x:c r="D68" s="9" t="n">
        <x:v>3</x:v>
      </x:c>
      <x:c r="E68" s="9" t="str">
        <x:v>D</x:v>
      </x:c>
      <x:c r="F68" s="9" t="str">
        <x:v>high</x:v>
      </x:c>
      <x:c r="G68" s="3" t="str">
        <x:v>CDX-FOUND</x:v>
      </x:c>
      <x:c r="H68" s="3" t="str">
        <x:v>An uncertain effect must be observed, reconciled or returned unresolved before repetition that could duplicate it; no universal exactly-once claim.</x:v>
      </x:c>
      <x:c r="I68" s="3" t="str">
        <x:v>git show 427a0deb39b7cd8e298b3b2ebc126c052f056d8a:specification_methodology/v3/build_tenants/codex/successor/standards/FOUNDATIONS.md</x:v>
      </x:c>
    </x:row>
    <x:row r="69" ht="63" customHeight="1">
      <x:c r="A69" s="3" t="str">
        <x:v>ST3X</x:v>
      </x:c>
      <x:c r="B69" s="3" t="str">
        <x:v>STDO v3 — Codex candidate</x:v>
      </x:c>
      <x:c r="C69" s="3" t="str">
        <x:v>C13</x:v>
      </x:c>
      <x:c r="D69" s="9" t="n">
        <x:v>3</x:v>
      </x:c>
      <x:c r="E69" s="9" t="str">
        <x:v>D</x:v>
      </x:c>
      <x:c r="F69" s="9" t="str">
        <x:v>high</x:v>
      </x:c>
      <x:c r="G69" s="3" t="str">
        <x:v>CDX-SPEC
CDX-FOUND</x:v>
      </x:c>
      <x:c r="H69" s="3" t="str">
        <x:v>Actor capability, reviewer output and representation cannot mint an operation or acceptance grant.</x:v>
      </x:c>
      <x:c r="I69" s="3" t="str">
        <x:v>git show 427a0deb39b7cd8e298b3b2ebc126c052f056d8a:specification_methodology/v3/build_tenants/codex/successor/standards/FOUNDATIONS.md
git show 427a0deb39b7cd8e298b3b2ebc126c052f056d8a:specification_methodology/v3/build_tenants/codex/successor/standards/SPEC_METHOD.md</x:v>
      </x:c>
    </x:row>
    <x:row r="70" ht="63" customHeight="1">
      <x:c r="A70" s="3" t="str">
        <x:v>ST3X</x:v>
      </x:c>
      <x:c r="B70" s="3" t="str">
        <x:v>STDO v3 — Codex candidate</x:v>
      </x:c>
      <x:c r="C70" s="3" t="str">
        <x:v>C14</x:v>
      </x:c>
      <x:c r="D70" s="9" t="n">
        <x:v>3</x:v>
      </x:c>
      <x:c r="E70" s="9" t="str">
        <x:v>D</x:v>
      </x:c>
      <x:c r="F70" s="9" t="str">
        <x:v>high</x:v>
      </x:c>
      <x:c r="G70" s="3" t="str">
        <x:v>CDX-SPEC
CDX-RF</x:v>
      </x:c>
      <x:c r="H70" s="3" t="str">
        <x:v>Non-author source-first independent evaluation binds the exact predicate, subject, evidence access and required separation.</x:v>
      </x:c>
      <x:c r="I70" s="3" t="str">
        <x:v>git show 427a0deb39b7cd8e298b3b2ebc126c052f056d8a:specification_methodology/v3/build_tenants/codex/successor/standards/SPEC_METHOD.md
git show 427a0deb39b7cd8e298b3b2ebc126c052f056d8a:specification_methodology/v3/build_tenants/codex/successor/standards/REFERENCE_FRAME_METHOD.md</x:v>
      </x:c>
    </x:row>
    <x:row r="71" ht="63" customHeight="1">
      <x:c r="A71" s="3" t="str">
        <x:v>ST3X</x:v>
      </x:c>
      <x:c r="B71" s="3" t="str">
        <x:v>STDO v3 — Codex candidate</x:v>
      </x:c>
      <x:c r="C71" s="3" t="str">
        <x:v>C15</x:v>
      </x:c>
      <x:c r="D71" s="9" t="n">
        <x:v>3</x:v>
      </x:c>
      <x:c r="E71" s="9" t="str">
        <x:v>D</x:v>
      </x:c>
      <x:c r="F71" s="9" t="str">
        <x:v>high</x:v>
      </x:c>
      <x:c r="G71" s="3" t="str">
        <x:v>CDX-SPEC
CDX-FIDELITY</x:v>
      </x:c>
      <x:c r="H71" s="3" t="str">
        <x:v>UP-022 defines independent source-derived expectations. Actual fidelity review found a mutant and identified a self-repeating expected-result oracle; not all repaired seams are confirmed.</x:v>
      </x:c>
      <x:c r="I71" s="3" t="str">
        <x:v>git show 427a0deb39b7cd8e298b3b2ebc126c052f056d8a:specification_methodology/v3/build_tenants/codex/successor/standards/SPEC_METHOD.md
git show 427a0deb39b7cd8e298b3b2ebc126c052f056d8a:specification_methodology/v3/build_tenants/codex/qualification/C3/a_c/review/REVIEW.md</x:v>
      </x:c>
    </x:row>
    <x:row r="72" ht="63" customHeight="1">
      <x:c r="A72" s="3" t="str">
        <x:v>ST3X</x:v>
      </x:c>
      <x:c r="B72" s="3" t="str">
        <x:v>STDO v3 — Codex candidate</x:v>
      </x:c>
      <x:c r="C72" s="3" t="str">
        <x:v>C16</x:v>
      </x:c>
      <x:c r="D72" s="9" t="n">
        <x:v>3</x:v>
      </x:c>
      <x:c r="E72" s="9" t="str">
        <x:v>D</x:v>
      </x:c>
      <x:c r="F72" s="9" t="str">
        <x:v>high</x:v>
      </x:c>
      <x:c r="G72" s="3" t="str">
        <x:v>CDX-FOUND
CDX-SPEC</x:v>
      </x:c>
      <x:c r="H72" s="3" t="str">
        <x:v>Mechanical, semantic, behavioral, acceptance and release claims require distinct evidence and authority.</x:v>
      </x:c>
      <x:c r="I72" s="3" t="str">
        <x:v>git show 427a0deb39b7cd8e298b3b2ebc126c052f056d8a:specification_methodology/v3/build_tenants/codex/successor/standards/FOUNDATIONS.md
git show 427a0deb39b7cd8e298b3b2ebc126c052f056d8a:specification_methodology/v3/build_tenants/codex/successor/standards/SPEC_METHOD.md</x:v>
      </x:c>
    </x:row>
    <x:row r="73" ht="63" customHeight="1">
      <x:c r="A73" s="3" t="str">
        <x:v>ST3X</x:v>
      </x:c>
      <x:c r="B73" s="3" t="str">
        <x:v>STDO v3 — Codex candidate</x:v>
      </x:c>
      <x:c r="C73" s="3" t="str">
        <x:v>C17</x:v>
      </x:c>
      <x:c r="D73" s="9" t="n">
        <x:v>3</x:v>
      </x:c>
      <x:c r="E73" s="9" t="str">
        <x:v>D</x:v>
      </x:c>
      <x:c r="F73" s="9" t="str">
        <x:v>high</x:v>
      </x:c>
      <x:c r="G73" s="3" t="str">
        <x:v>CDX-RF
CDX-EXEC</x:v>
      </x:c>
      <x:c r="H73" s="3" t="str">
        <x:v>Closed results have exact subject/basis/assessor/evidence limits; records distinguish reviewed predecessor subjects from current repaired cuts.</x:v>
      </x:c>
      <x:c r="I73" s="3" t="str">
        <x:v>git show 427a0deb39b7cd8e298b3b2ebc126c052f056d8a:specification_methodology/v3/build_tenants/codex/successor/standards/REFERENCE_FRAME_METHOD.md
git show 427a0deb39b7cd8e298b3b2ebc126c052f056d8a:specification_methodology/v3/build_tenants/codex/qualification/C3/EXECUTION.md</x:v>
      </x:c>
    </x:row>
    <x:row r="74" ht="63" customHeight="1">
      <x:c r="A74" s="3" t="str">
        <x:v>ST3X</x:v>
      </x:c>
      <x:c r="B74" s="3" t="str">
        <x:v>STDO v3 — Codex candidate</x:v>
      </x:c>
      <x:c r="C74" s="3" t="str">
        <x:v>C18</x:v>
      </x:c>
      <x:c r="D74" s="9" t="n">
        <x:v>3</x:v>
      </x:c>
      <x:c r="E74" s="9" t="str">
        <x:v>D</x:v>
      </x:c>
      <x:c r="F74" s="9" t="str">
        <x:v>high</x:v>
      </x:c>
      <x:c r="G74" s="3" t="str">
        <x:v>CDX-RF
CDX-DOMAIN</x:v>
      </x:c>
      <x:c r="H74" s="3" t="str">
        <x:v>Positive and falsifying domain cases cover failed constraints, authority drift and explicitly missing coverage; no extrapolation beyond selected cases.</x:v>
      </x:c>
      <x:c r="I74" s="3" t="str">
        <x:v>git show 427a0deb39b7cd8e298b3b2ebc126c052f056d8a:specification_methodology/v3/build_tenants/codex/successor/standards/REFERENCE_FRAME_METHOD.md
git show 427a0deb39b7cd8e298b3b2ebc126c052f056d8a:specification_methodology/v3/build_tenants/codex/qualification/C3/use/domain/REVIEW.md</x:v>
      </x:c>
    </x:row>
    <x:row r="75" ht="63" customHeight="1">
      <x:c r="A75" s="3" t="str">
        <x:v>ST3X</x:v>
      </x:c>
      <x:c r="B75" s="3" t="str">
        <x:v>STDO v3 — Codex candidate</x:v>
      </x:c>
      <x:c r="C75" s="3" t="str">
        <x:v>C19</x:v>
      </x:c>
      <x:c r="D75" s="9" t="n">
        <x:v>2</x:v>
      </x:c>
      <x:c r="E75" s="9" t="str">
        <x:v>G</x:v>
      </x:c>
      <x:c r="F75" s="9" t="str">
        <x:v>medium</x:v>
      </x:c>
      <x:c r="G75" s="3" t="str">
        <x:v>CDX-README
CDX-DOMAIN</x:v>
      </x:c>
      <x:c r="H75" s="3" t="str">
        <x:v>Entrypoints and selected frame projections support ordinary use. A fresh actor judged a selected supplied domain view; whole-corpus onboarding is unmeasured.</x:v>
      </x:c>
      <x:c r="I75" s="3" t="str">
        <x:v>git show 427a0deb39b7cd8e298b3b2ebc126c052f056d8a:specification_methodology/v3/build_tenants/codex/successor/standards/README.md
git show 427a0deb39b7cd8e298b3b2ebc126c052f056d8a:specification_methodology/v3/build_tenants/codex/qualification/C3/use/domain/REVIEW.md</x:v>
      </x:c>
    </x:row>
    <x:row r="76" ht="63" customHeight="1">
      <x:c r="A76" s="3" t="str">
        <x:v>ST3X</x:v>
      </x:c>
      <x:c r="B76" s="3" t="str">
        <x:v>STDO v3 — Codex candidate</x:v>
      </x:c>
      <x:c r="C76" s="3" t="str">
        <x:v>C20</x:v>
      </x:c>
      <x:c r="D76" s="9" t="n">
        <x:v>2</x:v>
      </x:c>
      <x:c r="E76" s="9" t="str">
        <x:v>D</x:v>
      </x:c>
      <x:c r="F76" s="9" t="str">
        <x:v>medium</x:v>
      </x:c>
      <x:c r="G76" s="3" t="str">
        <x:v>CDX-README
CDX-RF</x:v>
      </x:c>
      <x:c r="H76" s="3" t="str">
        <x:v>Source-linked views, schema/templates and plugin assets support portability as a candidate cut; no installed immutable successor is credited.</x:v>
      </x:c>
      <x:c r="I76" s="3" t="str">
        <x:v>git show 427a0deb39b7cd8e298b3b2ebc126c052f056d8a:specification_methodology/v3/build_tenants/codex/successor/standards/README.md
git show 427a0deb39b7cd8e298b3b2ebc126c052f056d8a:specification_methodology/v3/build_tenants/codex/successor/standards/REFERENCE_FRAME_METHOD.md</x:v>
      </x:c>
    </x:row>
    <x:row r="77" ht="90" customHeight="1">
      <x:c r="A77" s="3" t="str">
        <x:v>ST3X</x:v>
      </x:c>
      <x:c r="B77" s="3" t="str">
        <x:v>STDO v3 — Codex candidate</x:v>
      </x:c>
      <x:c r="C77" s="3" t="str">
        <x:v>C21</x:v>
      </x:c>
      <x:c r="D77" s="9" t="n">
        <x:v>2</x:v>
      </x:c>
      <x:c r="E77" s="9" t="str">
        <x:v>L</x:v>
      </x:c>
      <x:c r="F77" s="9" t="str">
        <x:v>high</x:v>
      </x:c>
      <x:c r="G77" s="3" t="str">
        <x:v>CDX-EXEC
CDX-DOMAIN
CDX-FIDELITY</x:v>
      </x:c>
      <x:c r="H77" s="3" t="str">
        <x:v>Concrete source-first review, mutation and repair loops exist, with unresolved confirmation preserved; no general automated framework CI service claimed.</x:v>
      </x:c>
      <x:c r="I77" s="3" t="str">
        <x:v>git show 427a0deb39b7cd8e298b3b2ebc126c052f056d8a:specification_methodology/v3/build_tenants/codex/qualification/C3/EXECUTION.md
git show 427a0deb39b7cd8e298b3b2ebc126c052f056d8a:specification_methodology/v3/build_tenants/codex/qualification/C3/use/domain/REVIEW.md
git show 427a0deb39b7cd8e298b3b2ebc126c052f056d8a:specification_methodology/v3/build_tenants/codex/qualification/C3/a_c/review/REVIEW.md</x:v>
      </x:c>
    </x:row>
    <x:row r="78" ht="49.5" customHeight="1">
      <x:c r="A78" s="3" t="str">
        <x:v>ST3X</x:v>
      </x:c>
      <x:c r="B78" s="3" t="str">
        <x:v>STDO v3 — Codex candidate</x:v>
      </x:c>
      <x:c r="C78" s="3" t="str">
        <x:v>C22</x:v>
      </x:c>
      <x:c r="D78" s="9" t="n">
        <x:v>1</x:v>
      </x:c>
      <x:c r="E78" s="9" t="str">
        <x:v>L</x:v>
      </x:c>
      <x:c r="F78" s="9" t="str">
        <x:v>high</x:v>
      </x:c>
      <x:c r="G78" s="3" t="str">
        <x:v>CDX-EXEC</x:v>
      </x:c>
      <x:c r="H78" s="3" t="str">
        <x:v>Declared context and artifact boundaries are recorded, but complete provider/root/delegated traffic, cost and peak active context are unavailable for this construction.</x:v>
      </x:c>
      <x:c r="I78" s="3" t="str">
        <x:v>git show 427a0deb39b7cd8e298b3b2ebc126c052f056d8a:specification_methodology/v3/build_tenants/codex/qualification/C3/EXECUTION.md</x:v>
      </x:c>
    </x:row>
    <x:row r="79" ht="63" customHeight="1">
      <x:c r="A79" s="3" t="str">
        <x:v>ST3X</x:v>
      </x:c>
      <x:c r="B79" s="3" t="str">
        <x:v>STDO v3 — Codex candidate</x:v>
      </x:c>
      <x:c r="C79" s="3" t="str">
        <x:v>C23</x:v>
      </x:c>
      <x:c r="D79" s="9" t="n">
        <x:v>1</x:v>
      </x:c>
      <x:c r="E79" s="9" t="str">
        <x:v>L</x:v>
      </x:c>
      <x:c r="F79" s="9" t="str">
        <x:v>high</x:v>
      </x:c>
      <x:c r="G79" s="3" t="str">
        <x:v>CDX-DOMAIN
CDX-FIDELITY</x:v>
      </x:c>
      <x:c r="H79" s="3" t="str">
        <x:v>Bounded historical fresh-use/fidelity reviews include assessed subject b0ec615c9ebe8da80e9852df3968233155a432b7. They expose real counterexamples but do not confirm repaired seams at 427a0de or establish whole-method effectiveness.</x:v>
      </x:c>
      <x:c r="I79" s="3" t="str">
        <x:v>git show 427a0deb39b7cd8e298b3b2ebc126c052f056d8a:specification_methodology/v3/build_tenants/codex/qualification/C3/use/domain/REVIEW.md
git show 427a0deb39b7cd8e298b3b2ebc126c052f056d8a:specification_methodology/v3/build_tenants/codex/qualification/C3/a_c/review/REVIEW.md</x:v>
      </x:c>
    </x:row>
    <x:row r="80" ht="90" customHeight="1">
      <x:c r="A80" s="3" t="str">
        <x:v>ST3X</x:v>
      </x:c>
      <x:c r="B80" s="3" t="str">
        <x:v>STDO v3 — Codex candidate</x:v>
      </x:c>
      <x:c r="C80" s="3" t="str">
        <x:v>C24</x:v>
      </x:c>
      <x:c r="D80" s="9" t="n">
        <x:v>3</x:v>
      </x:c>
      <x:c r="E80" s="9" t="str">
        <x:v>D</x:v>
      </x:c>
      <x:c r="F80" s="9" t="str">
        <x:v>high</x:v>
      </x:c>
      <x:c r="G80" s="3" t="str">
        <x:v>CDX-RF
CDX-SPEC
CDX-FIDELITY</x:v>
      </x:c>
      <x:c r="H80" s="3" t="str">
        <x:v>Fresh source-based self-qualification is an explicit obligation. Local fidelity review assesses historical b0ec615, not the repaired 427a0de seams; current whole-method qualification remains open.</x:v>
      </x:c>
      <x:c r="I80" s="3" t="str">
        <x:v>git show 427a0deb39b7cd8e298b3b2ebc126c052f056d8a:specification_methodology/v3/build_tenants/codex/successor/standards/SPEC_METHOD.md
git show 427a0deb39b7cd8e298b3b2ebc126c052f056d8a:specification_methodology/v3/build_tenants/codex/successor/standards/REFERENCE_FRAME_METHOD.md
git show 427a0deb39b7cd8e298b3b2ebc126c052f056d8a:specification_methodology/v3/build_tenants/codex/qualification/C3/a_c/review/REVIEW.md</x:v>
      </x:c>
    </x:row>
    <x:row r="81" ht="63" customHeight="1">
      <x:c r="A81" s="3" t="str">
        <x:v>ST3X</x:v>
      </x:c>
      <x:c r="B81" s="3" t="str">
        <x:v>STDO v3 — Codex candidate</x:v>
      </x:c>
      <x:c r="C81" s="3" t="str">
        <x:v>C25</x:v>
      </x:c>
      <x:c r="D81" s="9" t="n">
        <x:v>1</x:v>
      </x:c>
      <x:c r="E81" s="9" t="str">
        <x:v>D</x:v>
      </x:c>
      <x:c r="F81" s="9" t="str">
        <x:v>medium</x:v>
      </x:c>
      <x:c r="G81" s="3" t="str">
        <x:v>CDX-FOUND
CDX-SPEC</x:v>
      </x:c>
      <x:c r="H81" s="3" t="str">
        <x:v>Context, evidence standing and exact grant laws prevent evidence or labels from minting authority as a method obligation. Explicit adversarial instruction isolation and sensitive-data egress enforcement remain realization-owned.</x:v>
      </x:c>
      <x:c r="I81" s="3" t="str">
        <x:v>git show 427a0deb39b7cd8e298b3b2ebc126c052f056d8a:specification_methodology/v3/build_tenants/codex/successor/standards/FOUNDATIONS.md
git show 427a0deb39b7cd8e298b3b2ebc126c052f056d8a:specification_methodology/v3/build_tenants/codex/successor/standards/SPEC_METHOD.md</x:v>
      </x:c>
    </x:row>
    <x:row r="82" ht="63" customHeight="1">
      <x:c r="A82" s="3" t="str">
        <x:v>ST3X</x:v>
      </x:c>
      <x:c r="B82" s="3" t="str">
        <x:v>STDO v3 — Codex candidate</x:v>
      </x:c>
      <x:c r="C82" s="3" t="str">
        <x:v>C26</x:v>
      </x:c>
      <x:c r="D82" s="9" t="n">
        <x:v>1</x:v>
      </x:c>
      <x:c r="E82" s="9" t="str">
        <x:v>D</x:v>
      </x:c>
      <x:c r="F82" s="9" t="str">
        <x:v>high</x:v>
      </x:c>
      <x:c r="G82" s="3" t="str">
        <x:v>CDX-FOUND
CDX-SPEC</x:v>
      </x:c>
      <x:c r="H82" s="3" t="str">
        <x:v>Finite capability and permitted stop/refinement are governed. No native generic controller enforces spend, wall time, cancellation, concurrency and retry limits over every delegated execution.</x:v>
      </x:c>
      <x:c r="I82" s="3" t="str">
        <x:v>git show 427a0deb39b7cd8e298b3b2ebc126c052f056d8a:specification_methodology/v3/build_tenants/codex/successor/standards/FOUNDATIONS.md
git show 427a0deb39b7cd8e298b3b2ebc126c052f056d8a:specification_methodology/v3/build_tenants/codex/successor/standards/SPEC_METHOD.md</x:v>
      </x:c>
    </x:row>
    <x:row r="83" ht="49.5" customHeight="1">
      <x:c r="A83" s="3" t="str">
        <x:v>SPECKIT</x:v>
      </x:c>
      <x:c r="B83" s="3" t="str">
        <x:v>GitHub Spec Kit</x:v>
      </x:c>
      <x:c r="C83" s="3" t="str">
        <x:v>C01</x:v>
      </x:c>
      <x:c r="D83" s="9" t="n">
        <x:v>3</x:v>
      </x:c>
      <x:c r="E83" s="9" t="str">
        <x:v>D</x:v>
      </x:c>
      <x:c r="F83" s="9" t="str">
        <x:v>high</x:v>
      </x:c>
      <x:c r="G83" s="3" t="str">
        <x:v>SP02
SP03</x:v>
      </x:c>
      <x:c r="H83" s="3" t="str">
        <x:v>Feature intent, user stories and measurable success criteria precede planning.</x:v>
      </x:c>
      <x:c r="I83" s="3" t="str">
        <x:v>https://github.com/github/spec-kit/blob/main/docs/reference/agentic-sdd.md
https://github.com/github/spec-kit/blob/main/templates/commands/analyze.md</x:v>
      </x:c>
    </x:row>
    <x:row r="84" ht="49.5" customHeight="1">
      <x:c r="A84" s="3" t="str">
        <x:v>SPECKIT</x:v>
      </x:c>
      <x:c r="B84" s="3" t="str">
        <x:v>GitHub Spec Kit</x:v>
      </x:c>
      <x:c r="C84" s="3" t="str">
        <x:v>C02</x:v>
      </x:c>
      <x:c r="D84" s="9" t="n">
        <x:v>3</x:v>
      </x:c>
      <x:c r="E84" s="9" t="str">
        <x:v>D</x:v>
      </x:c>
      <x:c r="F84" s="9" t="str">
        <x:v>high</x:v>
      </x:c>
      <x:c r="G84" s="3" t="str">
        <x:v>SP02
SP03</x:v>
      </x:c>
      <x:c r="H84" s="3" t="str">
        <x:v>Spec, technical plan and tasks have explicit requirement/story coverage mappings.</x:v>
      </x:c>
      <x:c r="I84" s="3" t="str">
        <x:v>https://github.com/github/spec-kit/blob/main/docs/reference/agentic-sdd.md
https://github.com/github/spec-kit/blob/main/templates/commands/analyze.md</x:v>
      </x:c>
    </x:row>
    <x:row r="85" ht="49.5" customHeight="1">
      <x:c r="A85" s="3" t="str">
        <x:v>SPECKIT</x:v>
      </x:c>
      <x:c r="B85" s="3" t="str">
        <x:v>GitHub Spec Kit</x:v>
      </x:c>
      <x:c r="C85" s="3" t="str">
        <x:v>C03</x:v>
      </x:c>
      <x:c r="D85" s="9" t="n">
        <x:v>2</x:v>
      </x:c>
      <x:c r="E85" s="9" t="str">
        <x:v>D</x:v>
      </x:c>
      <x:c r="F85" s="9" t="str">
        <x:v>medium</x:v>
      </x:c>
      <x:c r="G85" s="3" t="str">
        <x:v>SP03
SP04</x:v>
      </x:c>
      <x:c r="H85" s="3" t="str">
        <x:v>Stable intent keys and observed code findings remain separate within feature scope.</x:v>
      </x:c>
      <x:c r="I85" s="3" t="str">
        <x:v>https://github.com/github/spec-kit/blob/main/templates/commands/analyze.md
https://github.com/github/spec-kit/blob/main/templates/commands/converge.md</x:v>
      </x:c>
    </x:row>
    <x:row r="86" ht="49.5" customHeight="1">
      <x:c r="A86" s="3" t="str">
        <x:v>SPECKIT</x:v>
      </x:c>
      <x:c r="B86" s="3" t="str">
        <x:v>GitHub Spec Kit</x:v>
      </x:c>
      <x:c r="C86" s="3" t="str">
        <x:v>C04</x:v>
      </x:c>
      <x:c r="D86" s="9" t="n">
        <x:v>2</x:v>
      </x:c>
      <x:c r="E86" s="9" t="str">
        <x:v>D</x:v>
      </x:c>
      <x:c r="F86" s="9" t="str">
        <x:v>medium</x:v>
      </x:c>
      <x:c r="G86" s="3" t="str">
        <x:v>SP03
SP04</x:v>
      </x:c>
      <x:c r="H86" s="3" t="str">
        <x:v>Constitution conflicts and missing coverage survive analysis; general semantic joins unestablished.</x:v>
      </x:c>
      <x:c r="I86" s="3" t="str">
        <x:v>https://github.com/github/spec-kit/blob/main/templates/commands/analyze.md
https://github.com/github/spec-kit/blob/main/templates/commands/converge.md</x:v>
      </x:c>
    </x:row>
    <x:row r="87" ht="49.5" customHeight="1">
      <x:c r="A87" s="3" t="str">
        <x:v>SPECKIT</x:v>
      </x:c>
      <x:c r="B87" s="3" t="str">
        <x:v>GitHub Spec Kit</x:v>
      </x:c>
      <x:c r="C87" s="3" t="str">
        <x:v>C05</x:v>
      </x:c>
      <x:c r="D87" s="9" t="n">
        <x:v>2</x:v>
      </x:c>
      <x:c r="E87" s="9" t="str">
        <x:v>G</x:v>
      </x:c>
      <x:c r="F87" s="9" t="str">
        <x:v>medium</x:v>
      </x:c>
      <x:c r="G87" s="3" t="str">
        <x:v>SP06</x:v>
      </x:c>
      <x:c r="H87" s="3" t="str">
        <x:v>Living/flow-back guidance realigns affected artifacts while preserving important rationale.</x:v>
      </x:c>
      <x:c r="I87" s="3" t="str">
        <x:v>https://github.github.io/spec-kit/guides/evolving-specs.html</x:v>
      </x:c>
    </x:row>
    <x:row r="88" ht="49.5" customHeight="1">
      <x:c r="A88" s="3" t="str">
        <x:v>SPECKIT</x:v>
      </x:c>
      <x:c r="B88" s="3" t="str">
        <x:v>GitHub Spec Kit</x:v>
      </x:c>
      <x:c r="C88" s="3" t="str">
        <x:v>C06</x:v>
      </x:c>
      <x:c r="D88" s="9" t="str">
        <x:v>U</x:v>
      </x:c>
      <x:c r="E88" s="9" t="str">
        <x:v>U</x:v>
      </x:c>
      <x:c r="F88" s="9" t="str">
        <x:v>low</x:v>
      </x:c>
      <x:c r="G88" s="3" t="str">
        <x:v>SP01
SP04</x:v>
      </x:c>
      <x:c r="H88" s="3" t="str">
        <x:v>Convergence and PR handoff do not establish constructed-product release/adoption governance.</x:v>
      </x:c>
      <x:c r="I88" s="3" t="str">
        <x:v>https://github.com/github/spec-kit
https://github.com/github/spec-kit/blob/main/templates/commands/converge.md</x:v>
      </x:c>
    </x:row>
    <x:row r="89" ht="49.5" customHeight="1">
      <x:c r="A89" s="3" t="str">
        <x:v>SPECKIT</x:v>
      </x:c>
      <x:c r="B89" s="3" t="str">
        <x:v>GitHub Spec Kit</x:v>
      </x:c>
      <x:c r="C89" s="3" t="str">
        <x:v>C07</x:v>
      </x:c>
      <x:c r="D89" s="9" t="n">
        <x:v>3</x:v>
      </x:c>
      <x:c r="E89" s="9" t="str">
        <x:v>D</x:v>
      </x:c>
      <x:c r="F89" s="9" t="str">
        <x:v>high</x:v>
      </x:c>
      <x:c r="G89" s="3" t="str">
        <x:v>SP03
SP04</x:v>
      </x:c>
      <x:c r="H89" s="3" t="str">
        <x:v>Progressive artifact loading and bounded source scope are explicit method instructions.</x:v>
      </x:c>
      <x:c r="I89" s="3" t="str">
        <x:v>https://github.com/github/spec-kit/blob/main/templates/commands/analyze.md
https://github.com/github/spec-kit/blob/main/templates/commands/converge.md</x:v>
      </x:c>
    </x:row>
    <x:row r="90" ht="49.5" customHeight="1">
      <x:c r="A90" s="3" t="str">
        <x:v>SPECKIT</x:v>
      </x:c>
      <x:c r="B90" s="3" t="str">
        <x:v>GitHub Spec Kit</x:v>
      </x:c>
      <x:c r="C90" s="3" t="str">
        <x:v>C08</x:v>
      </x:c>
      <x:c r="D90" s="9" t="n">
        <x:v>1</x:v>
      </x:c>
      <x:c r="E90" s="9" t="str">
        <x:v>D</x:v>
      </x:c>
      <x:c r="F90" s="9" t="str">
        <x:v>medium</x:v>
      </x:c>
      <x:c r="G90" s="3" t="str">
        <x:v>SP03</x:v>
      </x:c>
      <x:c r="H90" s="3" t="str">
        <x:v>Findings limits and progressive disclosure reduce context; required-context fit accounting unestablished.</x:v>
      </x:c>
      <x:c r="I90" s="3" t="str">
        <x:v>https://github.com/github/spec-kit/blob/main/templates/commands/analyze.md</x:v>
      </x:c>
    </x:row>
    <x:row r="91" ht="49.5" customHeight="1">
      <x:c r="A91" s="3" t="str">
        <x:v>SPECKIT</x:v>
      </x:c>
      <x:c r="B91" s="3" t="str">
        <x:v>GitHub Spec Kit</x:v>
      </x:c>
      <x:c r="C91" s="3" t="str">
        <x:v>C09</x:v>
      </x:c>
      <x:c r="D91" s="9" t="n">
        <x:v>2</x:v>
      </x:c>
      <x:c r="E91" s="9" t="str">
        <x:v>R</x:v>
      </x:c>
      <x:c r="F91" s="9" t="str">
        <x:v>high</x:v>
      </x:c>
      <x:c r="G91" s="3" t="str">
        <x:v>SP05</x:v>
      </x:c>
      <x:c r="H91" s="3" t="str">
        <x:v>Native nested workflows, declared inputs/outputs and bounded fan-out/in support handoffs.</x:v>
      </x:c>
      <x:c r="I91" s="3" t="str">
        <x:v>https://github.com/github/spec-kit/blob/main/docs/reference/workflows.md</x:v>
      </x:c>
    </x:row>
    <x:row r="92" ht="49.5" customHeight="1">
      <x:c r="A92" s="3" t="str">
        <x:v>SPECKIT</x:v>
      </x:c>
      <x:c r="B92" s="3" t="str">
        <x:v>GitHub Spec Kit</x:v>
      </x:c>
      <x:c r="C92" s="3" t="str">
        <x:v>C10</x:v>
      </x:c>
      <x:c r="D92" s="9" t="n">
        <x:v>2</x:v>
      </x:c>
      <x:c r="E92" s="9" t="str">
        <x:v>R</x:v>
      </x:c>
      <x:c r="F92" s="9" t="str">
        <x:v>high</x:v>
      </x:c>
      <x:c r="G92" s="3" t="str">
        <x:v>SP05</x:v>
      </x:c>
      <x:c r="H92" s="3" t="str">
        <x:v>Persisted execution resumes completed occurrences; files and step implementations remain unfrozen.</x:v>
      </x:c>
      <x:c r="I92" s="3" t="str">
        <x:v>https://github.com/github/spec-kit/blob/main/docs/reference/workflows.md</x:v>
      </x:c>
    </x:row>
    <x:row r="93" ht="49.5" customHeight="1">
      <x:c r="A93" s="3" t="str">
        <x:v>SPECKIT</x:v>
      </x:c>
      <x:c r="B93" s="3" t="str">
        <x:v>GitHub Spec Kit</x:v>
      </x:c>
      <x:c r="C93" s="3" t="str">
        <x:v>C11</x:v>
      </x:c>
      <x:c r="D93" s="9" t="n">
        <x:v>2</x:v>
      </x:c>
      <x:c r="E93" s="9" t="str">
        <x:v>D</x:v>
      </x:c>
      <x:c r="F93" s="9" t="str">
        <x:v>high</x:v>
      </x:c>
      <x:c r="G93" s="3" t="str">
        <x:v>SP03
SP04</x:v>
      </x:c>
      <x:c r="H93" s="3" t="str">
        <x:v>Missing prerequisites stop with named next commands; findings retain actionable classifications.</x:v>
      </x:c>
      <x:c r="I93" s="3" t="str">
        <x:v>https://github.com/github/spec-kit/blob/main/templates/commands/analyze.md
https://github.com/github/spec-kit/blob/main/templates/commands/converge.md</x:v>
      </x:c>
    </x:row>
    <x:row r="94" ht="49.5" customHeight="1">
      <x:c r="A94" s="3" t="str">
        <x:v>SPECKIT</x:v>
      </x:c>
      <x:c r="B94" s="3" t="str">
        <x:v>GitHub Spec Kit</x:v>
      </x:c>
      <x:c r="C94" s="3" t="str">
        <x:v>C12</x:v>
      </x:c>
      <x:c r="D94" s="9" t="n">
        <x:v>1</x:v>
      </x:c>
      <x:c r="E94" s="9" t="str">
        <x:v>R</x:v>
      </x:c>
      <x:c r="F94" s="9" t="str">
        <x:v>medium</x:v>
      </x:c>
      <x:c r="G94" s="3" t="str">
        <x:v>SP05</x:v>
      </x:c>
      <x:c r="H94" s="3" t="str">
        <x:v>Completed steps avoid rerun; interrupted external effects lack documented reconciliation guarantees.</x:v>
      </x:c>
      <x:c r="I94" s="3" t="str">
        <x:v>https://github.com/github/spec-kit/blob/main/docs/reference/workflows.md</x:v>
      </x:c>
    </x:row>
    <x:row r="95" ht="49.5" customHeight="1">
      <x:c r="A95" s="3" t="str">
        <x:v>SPECKIT</x:v>
      </x:c>
      <x:c r="B95" s="3" t="str">
        <x:v>GitHub Spec Kit</x:v>
      </x:c>
      <x:c r="C95" s="3" t="str">
        <x:v>C13</x:v>
      </x:c>
      <x:c r="D95" s="9" t="n">
        <x:v>2</x:v>
      </x:c>
      <x:c r="E95" s="9" t="str">
        <x:v>R</x:v>
      </x:c>
      <x:c r="F95" s="9" t="str">
        <x:v>high</x:v>
      </x:c>
      <x:c r="G95" s="3" t="str">
        <x:v>SP05</x:v>
      </x:c>
      <x:c r="H95" s="3" t="str">
        <x:v>Approval gates precede steps; shell privileges remain unsandboxed and permissions are advisory.</x:v>
      </x:c>
      <x:c r="I95" s="3" t="str">
        <x:v>https://github.com/github/spec-kit/blob/main/docs/reference/workflows.md</x:v>
      </x:c>
    </x:row>
    <x:row r="96" ht="49.5" customHeight="1">
      <x:c r="A96" s="3" t="str">
        <x:v>SPECKIT</x:v>
      </x:c>
      <x:c r="B96" s="3" t="str">
        <x:v>GitHub Spec Kit</x:v>
      </x:c>
      <x:c r="C96" s="3" t="str">
        <x:v>C14</x:v>
      </x:c>
      <x:c r="D96" s="9" t="n">
        <x:v>1</x:v>
      </x:c>
      <x:c r="E96" s="9" t="str">
        <x:v>D</x:v>
      </x:c>
      <x:c r="F96" s="9" t="str">
        <x:v>medium</x:v>
      </x:c>
      <x:c r="G96" s="3" t="str">
        <x:v>SP03</x:v>
      </x:c>
      <x:c r="H96" s="3" t="str">
        <x:v>Read-only analysis separates stages; assessor independence from author remains unspecified.</x:v>
      </x:c>
      <x:c r="I96" s="3" t="str">
        <x:v>https://github.com/github/spec-kit/blob/main/templates/commands/analyze.md</x:v>
      </x:c>
    </x:row>
    <x:row r="97" ht="49.5" customHeight="1">
      <x:c r="A97" s="3" t="str">
        <x:v>SPECKIT</x:v>
      </x:c>
      <x:c r="B97" s="3" t="str">
        <x:v>GitHub Spec Kit</x:v>
      </x:c>
      <x:c r="C97" s="3" t="str">
        <x:v>C15</x:v>
      </x:c>
      <x:c r="D97" s="9" t="n">
        <x:v>1</x:v>
      </x:c>
      <x:c r="E97" s="9" t="str">
        <x:v>D</x:v>
      </x:c>
      <x:c r="F97" s="9" t="str">
        <x:v>medium</x:v>
      </x:c>
      <x:c r="G97" s="3" t="str">
        <x:v>SP02
SP04</x:v>
      </x:c>
      <x:c r="H97" s="3" t="str">
        <x:v>Acceptance scenarios inform checking; independent oracle and faulty-checker controls unestablished.</x:v>
      </x:c>
      <x:c r="I97" s="3" t="str">
        <x:v>https://github.com/github/spec-kit/blob/main/docs/reference/agentic-sdd.md
https://github.com/github/spec-kit/blob/main/templates/commands/converge.md</x:v>
      </x:c>
    </x:row>
    <x:row r="98" ht="49.5" customHeight="1">
      <x:c r="A98" s="3" t="str">
        <x:v>SPECKIT</x:v>
      </x:c>
      <x:c r="B98" s="3" t="str">
        <x:v>GitHub Spec Kit</x:v>
      </x:c>
      <x:c r="C98" s="3" t="str">
        <x:v>C16</x:v>
      </x:c>
      <x:c r="D98" s="9" t="n">
        <x:v>2</x:v>
      </x:c>
      <x:c r="E98" s="9" t="str">
        <x:v>D</x:v>
      </x:c>
      <x:c r="F98" s="9" t="str">
        <x:v>high</x:v>
      </x:c>
      <x:c r="G98" s="3" t="str">
        <x:v>SP03
SP04</x:v>
      </x:c>
      <x:c r="H98" s="3" t="str">
        <x:v>Requirements quality, implementation gaps and later review are distinct scoped judgments.</x:v>
      </x:c>
      <x:c r="I98" s="3" t="str">
        <x:v>https://github.com/github/spec-kit/blob/main/templates/commands/analyze.md
https://github.com/github/spec-kit/blob/main/templates/commands/converge.md</x:v>
      </x:c>
    </x:row>
    <x:row r="99" ht="49.5" customHeight="1">
      <x:c r="A99" s="3" t="str">
        <x:v>SPECKIT</x:v>
      </x:c>
      <x:c r="B99" s="3" t="str">
        <x:v>GitHub Spec Kit</x:v>
      </x:c>
      <x:c r="C99" s="3" t="str">
        <x:v>C17</x:v>
      </x:c>
      <x:c r="D99" s="9" t="n">
        <x:v>2</x:v>
      </x:c>
      <x:c r="E99" s="9" t="str">
        <x:v>D</x:v>
      </x:c>
      <x:c r="F99" s="9" t="str">
        <x:v>medium</x:v>
      </x:c>
      <x:c r="G99" s="3" t="str">
        <x:v>SP04</x:v>
      </x:c>
      <x:c r="H99" s="3" t="str">
        <x:v>Findings cite intent keys and code areas; exact immutable subject/basis binding unestablished.</x:v>
      </x:c>
      <x:c r="I99" s="3" t="str">
        <x:v>https://github.com/github/spec-kit/blob/main/templates/commands/converge.md</x:v>
      </x:c>
    </x:row>
    <x:row r="100" ht="49.5" customHeight="1">
      <x:c r="A100" s="3" t="str">
        <x:v>SPECKIT</x:v>
      </x:c>
      <x:c r="B100" s="3" t="str">
        <x:v>GitHub Spec Kit</x:v>
      </x:c>
      <x:c r="C100" s="3" t="str">
        <x:v>C18</x:v>
      </x:c>
      <x:c r="D100" s="9" t="n">
        <x:v>2</x:v>
      </x:c>
      <x:c r="E100" s="9" t="str">
        <x:v>D</x:v>
      </x:c>
      <x:c r="F100" s="9" t="str">
        <x:v>medium</x:v>
      </x:c>
      <x:c r="G100" s="3" t="str">
        <x:v>SP03
SP04</x:v>
      </x:c>
      <x:c r="H100" s="3" t="str">
        <x:v>Contradictions, missing coverage and edge cases feed corrective tasks and rechecking.</x:v>
      </x:c>
      <x:c r="I100" s="3" t="str">
        <x:v>https://github.com/github/spec-kit/blob/main/templates/commands/analyze.md
https://github.com/github/spec-kit/blob/main/templates/commands/converge.md</x:v>
      </x:c>
    </x:row>
    <x:row r="101" ht="49.5" customHeight="1">
      <x:c r="A101" s="3" t="str">
        <x:v>SPECKIT</x:v>
      </x:c>
      <x:c r="B101" s="3" t="str">
        <x:v>GitHub Spec Kit</x:v>
      </x:c>
      <x:c r="C101" s="3" t="str">
        <x:v>C19</x:v>
      </x:c>
      <x:c r="D101" s="9" t="n">
        <x:v>3</x:v>
      </x:c>
      <x:c r="E101" s="9" t="str">
        <x:v>G</x:v>
      </x:c>
      <x:c r="F101" s="9" t="str">
        <x:v>high</x:v>
      </x:c>
      <x:c r="G101" s="3" t="str">
        <x:v>SP01
SP02</x:v>
      </x:c>
      <x:c r="H101" s="3" t="str">
        <x:v>Published installation and ordinary feature walkthrough expose a clear first-use path.</x:v>
      </x:c>
      <x:c r="I101" s="3" t="str">
        <x:v>https://github.com/github/spec-kit
https://github.com/github/spec-kit/blob/main/docs/reference/agentic-sdd.md</x:v>
      </x:c>
    </x:row>
    <x:row r="102" ht="49.5" customHeight="1">
      <x:c r="A102" s="3" t="str">
        <x:v>SPECKIT</x:v>
      </x:c>
      <x:c r="B102" s="3" t="str">
        <x:v>GitHub Spec Kit</x:v>
      </x:c>
      <x:c r="C102" s="3" t="str">
        <x:v>C20</x:v>
      </x:c>
      <x:c r="D102" s="9" t="n">
        <x:v>3</x:v>
      </x:c>
      <x:c r="E102" s="9" t="str">
        <x:v>R</x:v>
      </x:c>
      <x:c r="F102" s="9" t="str">
        <x:v>high</x:v>
      </x:c>
      <x:c r="G102" s="3" t="str">
        <x:v>SP01
SP05</x:v>
      </x:c>
      <x:c r="H102" s="3" t="str">
        <x:v>Reusable templates and installable workflows span supported coding-agent integrations.</x:v>
      </x:c>
      <x:c r="I102" s="3" t="str">
        <x:v>https://github.com/github/spec-kit
https://github.com/github/spec-kit/blob/main/docs/reference/workflows.md</x:v>
      </x:c>
    </x:row>
    <x:row r="103" ht="49.5" customHeight="1">
      <x:c r="A103" s="3" t="str">
        <x:v>SPECKIT</x:v>
      </x:c>
      <x:c r="B103" s="3" t="str">
        <x:v>GitHub Spec Kit</x:v>
      </x:c>
      <x:c r="C103" s="3" t="str">
        <x:v>C21</x:v>
      </x:c>
      <x:c r="D103" s="9" t="n">
        <x:v>2</x:v>
      </x:c>
      <x:c r="E103" s="9" t="str">
        <x:v>D</x:v>
      </x:c>
      <x:c r="F103" s="9" t="str">
        <x:v>high</x:v>
      </x:c>
      <x:c r="G103" s="3" t="str">
        <x:v>SP03
SP04
SP06</x:v>
      </x:c>
      <x:c r="H103" s="3" t="str">
        <x:v>Analysis/convergence findings repair owning artifacts and feed repeated implementation checks.</x:v>
      </x:c>
      <x:c r="I103" s="3" t="str">
        <x:v>https://github.com/github/spec-kit/blob/main/templates/commands/analyze.md
https://github.com/github/spec-kit/blob/main/templates/commands/converge.md
https://github.github.io/spec-kit/guides/evolving-specs.html</x:v>
      </x:c>
    </x:row>
    <x:row r="104" ht="49.5" customHeight="1">
      <x:c r="A104" s="3" t="str">
        <x:v>SPECKIT</x:v>
      </x:c>
      <x:c r="B104" s="3" t="str">
        <x:v>GitHub Spec Kit</x:v>
      </x:c>
      <x:c r="C104" s="3" t="str">
        <x:v>C22</x:v>
      </x:c>
      <x:c r="D104" s="9" t="str">
        <x:v>U</x:v>
      </x:c>
      <x:c r="E104" s="9" t="str">
        <x:v>U</x:v>
      </x:c>
      <x:c r="F104" s="9" t="str">
        <x:v>low</x:v>
      </x:c>
      <x:c r="G104" s="3" t="str">
        <x:v>SP05</x:v>
      </x:c>
      <x:c r="H104" s="3" t="str">
        <x:v>Run records do not establish complete token, time and delegated-resource accounting.</x:v>
      </x:c>
      <x:c r="I104" s="3" t="str">
        <x:v>https://github.com/github/spec-kit/blob/main/docs/reference/workflows.md</x:v>
      </x:c>
    </x:row>
    <x:row r="105" ht="49.5" customHeight="1">
      <x:c r="A105" s="3" t="str">
        <x:v>SPECKIT</x:v>
      </x:c>
      <x:c r="B105" s="3" t="str">
        <x:v>GitHub Spec Kit</x:v>
      </x:c>
      <x:c r="C105" s="3" t="str">
        <x:v>C23</x:v>
      </x:c>
      <x:c r="D105" s="9" t="str">
        <x:v>U</x:v>
      </x:c>
      <x:c r="E105" s="9" t="str">
        <x:v>U</x:v>
      </x:c>
      <x:c r="F105" s="9" t="str">
        <x:v>low</x:v>
      </x:c>
      <x:c r="G105" s="3" t="str">
        <x:v>SP01
SP02</x:v>
      </x:c>
      <x:c r="H105" s="3" t="str">
        <x:v>No measured selected-method effectiveness study established in reviewed primary pages.</x:v>
      </x:c>
      <x:c r="I105" s="3" t="str">
        <x:v>https://github.com/github/spec-kit
https://github.com/github/spec-kit/blob/main/docs/reference/agentic-sdd.md</x:v>
      </x:c>
    </x:row>
    <x:row r="106" ht="49.5" customHeight="1">
      <x:c r="A106" s="3" t="str">
        <x:v>SPECKIT</x:v>
      </x:c>
      <x:c r="B106" s="3" t="str">
        <x:v>GitHub Spec Kit</x:v>
      </x:c>
      <x:c r="C106" s="3" t="str">
        <x:v>C24</x:v>
      </x:c>
      <x:c r="D106" s="9" t="str">
        <x:v>U</x:v>
      </x:c>
      <x:c r="E106" s="9" t="str">
        <x:v>U</x:v>
      </x:c>
      <x:c r="F106" s="9" t="str">
        <x:v>low</x:v>
      </x:c>
      <x:c r="G106" s="3" t="str">
        <x:v>SP01
SP03</x:v>
      </x:c>
      <x:c r="H106" s="3" t="str">
        <x:v>Fresh-actor method fidelity trials with faulty-guidance/oracle controls remain unestablished.</x:v>
      </x:c>
      <x:c r="I106" s="3" t="str">
        <x:v>https://github.com/github/spec-kit
https://github.com/github/spec-kit/blob/main/templates/commands/analyze.md</x:v>
      </x:c>
    </x:row>
    <x:row r="107" ht="49.5" customHeight="1">
      <x:c r="A107" s="3" t="str">
        <x:v>SPECKIT</x:v>
      </x:c>
      <x:c r="B107" s="3" t="str">
        <x:v>GitHub Spec Kit</x:v>
      </x:c>
      <x:c r="C107" s="3" t="str">
        <x:v>C25</x:v>
      </x:c>
      <x:c r="D107" s="9" t="n">
        <x:v>1</x:v>
      </x:c>
      <x:c r="E107" s="9" t="str">
        <x:v>G</x:v>
      </x:c>
      <x:c r="F107" s="9" t="str">
        <x:v>high</x:v>
      </x:c>
      <x:c r="G107" s="3" t="str">
        <x:v>SP05
SP07</x:v>
      </x:c>
      <x:c r="H107" s="3" t="str">
        <x:v>Documents untrusted/AI output shell-interpolation hazards and source allowlists; general instruction-authority/egress controls remain unestablished.</x:v>
      </x:c>
      <x:c r="I107" s="3" t="str">
        <x:v>https://github.com/github/spec-kit/blob/main/docs/reference/workflows.md
https://raw.githubusercontent.com/github/spec-kit/main/workflows/README.md</x:v>
      </x:c>
    </x:row>
    <x:row r="108" ht="49.5" customHeight="1">
      <x:c r="A108" s="3" t="str">
        <x:v>SPECKIT</x:v>
      </x:c>
      <x:c r="B108" s="3" t="str">
        <x:v>GitHub Spec Kit</x:v>
      </x:c>
      <x:c r="C108" s="3" t="str">
        <x:v>C26</x:v>
      </x:c>
      <x:c r="D108" s="9" t="n">
        <x:v>2</x:v>
      </x:c>
      <x:c r="E108" s="9" t="str">
        <x:v>R</x:v>
      </x:c>
      <x:c r="F108" s="9" t="str">
        <x:v>high</x:v>
      </x:c>
      <x:c r="G108" s="3" t="str">
        <x:v>SP05
SP07</x:v>
      </x:c>
      <x:c r="H108" s="3" t="str">
        <x:v>Loop limits and shell timeout/failure are native; concurrency is configurable. Aggregate token/spend and descendant-cancellation bounds remain unestablished.</x:v>
      </x:c>
      <x:c r="I108" s="3" t="str">
        <x:v>https://github.com/github/spec-kit/blob/main/docs/reference/workflows.md
https://raw.githubusercontent.com/github/spec-kit/main/workflows/README.md</x:v>
      </x:c>
    </x:row>
    <x:row r="109" ht="49.5" customHeight="1">
      <x:c r="A109" s="3" t="str">
        <x:v>BMAD</x:v>
      </x:c>
      <x:c r="B109" s="3" t="str">
        <x:v>BMad Method v6.12.2</x:v>
      </x:c>
      <x:c r="C109" s="3" t="str">
        <x:v>C01</x:v>
      </x:c>
      <x:c r="D109" s="9" t="n">
        <x:v>3</x:v>
      </x:c>
      <x:c r="E109" s="9" t="str">
        <x:v>D</x:v>
      </x:c>
      <x:c r="F109" s="9" t="str">
        <x:v>high</x:v>
      </x:c>
      <x:c r="G109" s="3" t="str">
        <x:v>BM04</x:v>
      </x:c>
      <x:c r="H109" s="3" t="str">
        <x:v>Spec explicitly records why, capabilities, constraints, non-goals and success signals.</x:v>
      </x:c>
      <x:c r="I109" s="3" t="str">
        <x:v>https://raw.githubusercontent.com/bmad-code-org/BMAD-METHOD/v6.12.2/docs/plan/define-requirements-and-a-specification.md</x:v>
      </x:c>
    </x:row>
    <x:row r="110" ht="63" customHeight="1">
      <x:c r="A110" s="3" t="str">
        <x:v>BMAD</x:v>
      </x:c>
      <x:c r="B110" s="3" t="str">
        <x:v>BMad Method v6.12.2</x:v>
      </x:c>
      <x:c r="C110" s="3" t="str">
        <x:v>C02</x:v>
      </x:c>
      <x:c r="D110" s="9" t="n">
        <x:v>3</x:v>
      </x:c>
      <x:c r="E110" s="9" t="str">
        <x:v>D</x:v>
      </x:c>
      <x:c r="F110" s="9" t="str">
        <x:v>high</x:v>
      </x:c>
      <x:c r="G110" s="3" t="str">
        <x:v>BM04
BM05</x:v>
      </x:c>
      <x:c r="H110" s="3" t="str">
        <x:v>Product requirements remain separate from technical choices and traced story acceptance criteria.</x:v>
      </x:c>
      <x:c r="I110" s="3" t="str">
        <x:v>https://raw.githubusercontent.com/bmad-code-org/BMAD-METHOD/v6.12.2/docs/plan/define-requirements-and-a-specification.md
https://raw.githubusercontent.com/bmad-code-org/BMAD-METHOD/v6.12.2/docs/plan/break-work-into-stories-and-track-it.md</x:v>
      </x:c>
    </x:row>
    <x:row r="111" ht="63" customHeight="1">
      <x:c r="A111" s="3" t="str">
        <x:v>BMAD</x:v>
      </x:c>
      <x:c r="B111" s="3" t="str">
        <x:v>BMad Method v6.12.2</x:v>
      </x:c>
      <x:c r="C111" s="3" t="str">
        <x:v>C03</x:v>
      </x:c>
      <x:c r="D111" s="9" t="n">
        <x:v>2</x:v>
      </x:c>
      <x:c r="E111" s="9" t="str">
        <x:v>D</x:v>
      </x:c>
      <x:c r="F111" s="9" t="str">
        <x:v>medium</x:v>
      </x:c>
      <x:c r="G111" s="3" t="str">
        <x:v>BM04
BM07</x:v>
      </x:c>
      <x:c r="H111" s="3" t="str">
        <x:v>Stable capability IDs, domain meaning and live source pointers preserve scoped interpretation.</x:v>
      </x:c>
      <x:c r="I111" s="3" t="str">
        <x:v>https://raw.githubusercontent.com/bmad-code-org/BMAD-METHOD/v6.12.2/docs/plan/define-requirements-and-a-specification.md
https://raw.githubusercontent.com/bmad-code-org/BMAD-METHOD/v6.12.2/docs/existing-codebases/set-and-maintain-project-context.md</x:v>
      </x:c>
    </x:row>
    <x:row r="112" ht="63" customHeight="1">
      <x:c r="A112" s="3" t="str">
        <x:v>BMAD</x:v>
      </x:c>
      <x:c r="B112" s="3" t="str">
        <x:v>BMad Method v6.12.2</x:v>
      </x:c>
      <x:c r="C112" s="3" t="str">
        <x:v>C04</x:v>
      </x:c>
      <x:c r="D112" s="9" t="n">
        <x:v>2</x:v>
      </x:c>
      <x:c r="E112" s="9" t="str">
        <x:v>D</x:v>
      </x:c>
      <x:c r="F112" s="9" t="str">
        <x:v>high</x:v>
      </x:c>
      <x:c r="G112" s="3" t="str">
        <x:v>BM02
BM08</x:v>
      </x:c>
      <x:c r="H112" s="3" t="str">
        <x:v>Parent intent survives story slicing; whole-epic review checks seams and unfinished obligations.</x:v>
      </x:c>
      <x:c r="I112" s="3" t="str">
        <x:v>https://raw.githubusercontent.com/bmad-code-org/BMAD-METHOD/v6.12.2/docs/build/build-a-change.md
https://raw.githubusercontent.com/bmad-code-org/BMAD-METHOD/v6.12.2/docs/build/finish-an-epic.md</x:v>
      </x:c>
    </x:row>
    <x:row r="113" ht="90" customHeight="1">
      <x:c r="A113" s="3" t="str">
        <x:v>BMAD</x:v>
      </x:c>
      <x:c r="B113" s="3" t="str">
        <x:v>BMad Method v6.12.2</x:v>
      </x:c>
      <x:c r="C113" s="3" t="str">
        <x:v>C05</x:v>
      </x:c>
      <x:c r="D113" s="9" t="n">
        <x:v>2</x:v>
      </x:c>
      <x:c r="E113" s="9" t="str">
        <x:v>D</x:v>
      </x:c>
      <x:c r="F113" s="9" t="str">
        <x:v>high</x:v>
      </x:c>
      <x:c r="G113" s="3" t="str">
        <x:v>BM02
BM04
BM07</x:v>
      </x:c>
      <x:c r="H113" s="3" t="str">
        <x:v>Wrong goals/plans trigger upstream correction; context refresh rechecks changed source.</x:v>
      </x:c>
      <x:c r="I113" s="3" t="str">
        <x:v>https://raw.githubusercontent.com/bmad-code-org/BMAD-METHOD/v6.12.2/docs/build/build-a-change.md
https://raw.githubusercontent.com/bmad-code-org/BMAD-METHOD/v6.12.2/docs/plan/define-requirements-and-a-specification.md
https://raw.githubusercontent.com/bmad-code-org/BMAD-METHOD/v6.12.2/docs/existing-codebases/set-and-maintain-project-context.md</x:v>
      </x:c>
    </x:row>
    <x:row r="114" ht="49.5" customHeight="1">
      <x:c r="A114" s="3" t="str">
        <x:v>BMAD</x:v>
      </x:c>
      <x:c r="B114" s="3" t="str">
        <x:v>BMad Method v6.12.2</x:v>
      </x:c>
      <x:c r="C114" s="3" t="str">
        <x:v>C06</x:v>
      </x:c>
      <x:c r="D114" s="9" t="n">
        <x:v>1</x:v>
      </x:c>
      <x:c r="E114" s="9" t="str">
        <x:v>D</x:v>
      </x:c>
      <x:c r="F114" s="9" t="str">
        <x:v>medium</x:v>
      </x:c>
      <x:c r="G114" s="3" t="str">
        <x:v>BM08</x:v>
      </x:c>
      <x:c r="H114" s="3" t="str">
        <x:v>Epic acceptance and owner override exist; product release identity/adoption policy unestablished.</x:v>
      </x:c>
      <x:c r="I114" s="3" t="str">
        <x:v>https://raw.githubusercontent.com/bmad-code-org/BMAD-METHOD/v6.12.2/docs/build/finish-an-epic.md</x:v>
      </x:c>
    </x:row>
    <x:row r="115" ht="63" customHeight="1">
      <x:c r="A115" s="3" t="str">
        <x:v>BMAD</x:v>
      </x:c>
      <x:c r="B115" s="3" t="str">
        <x:v>BMad Method v6.12.2</x:v>
      </x:c>
      <x:c r="C115" s="3" t="str">
        <x:v>C07</x:v>
      </x:c>
      <x:c r="D115" s="9" t="n">
        <x:v>3</x:v>
      </x:c>
      <x:c r="E115" s="9" t="str">
        <x:v>D</x:v>
      </x:c>
      <x:c r="F115" s="9" t="str">
        <x:v>high</x:v>
      </x:c>
      <x:c r="G115" s="3" t="str">
        <x:v>BM02
BM07</x:v>
      </x:c>
      <x:c r="H115" s="3" t="str">
        <x:v>Fresh sessions and verified scoped pointers explicitly exclude derivable/stale repository summaries.</x:v>
      </x:c>
      <x:c r="I115" s="3" t="str">
        <x:v>https://raw.githubusercontent.com/bmad-code-org/BMAD-METHOD/v6.12.2/docs/build/build-a-change.md
https://raw.githubusercontent.com/bmad-code-org/BMAD-METHOD/v6.12.2/docs/existing-codebases/set-and-maintain-project-context.md</x:v>
      </x:c>
    </x:row>
    <x:row r="116" ht="63" customHeight="1">
      <x:c r="A116" s="3" t="str">
        <x:v>BMAD</x:v>
      </x:c>
      <x:c r="B116" s="3" t="str">
        <x:v>BMad Method v6.12.2</x:v>
      </x:c>
      <x:c r="C116" s="3" t="str">
        <x:v>C08</x:v>
      </x:c>
      <x:c r="D116" s="9" t="n">
        <x:v>2</x:v>
      </x:c>
      <x:c r="E116" s="9" t="str">
        <x:v>D</x:v>
      </x:c>
      <x:c r="F116" s="9" t="str">
        <x:v>medium</x:v>
      </x:c>
      <x:c r="G116" s="3" t="str">
        <x:v>BM02
BM04</x:v>
      </x:c>
      <x:c r="H116" s="3" t="str">
        <x:v>Session-size heuristics and oversized-input refusal are explicit; full capacity accounting unestablished.</x:v>
      </x:c>
      <x:c r="I116" s="3" t="str">
        <x:v>https://raw.githubusercontent.com/bmad-code-org/BMAD-METHOD/v6.12.2/docs/build/build-a-change.md
https://raw.githubusercontent.com/bmad-code-org/BMAD-METHOD/v6.12.2/docs/plan/define-requirements-and-a-specification.md</x:v>
      </x:c>
    </x:row>
    <x:row r="117" ht="90" customHeight="1">
      <x:c r="A117" s="3" t="str">
        <x:v>BMAD</x:v>
      </x:c>
      <x:c r="B117" s="3" t="str">
        <x:v>BMad Method v6.12.2</x:v>
      </x:c>
      <x:c r="C117" s="3" t="str">
        <x:v>C09</x:v>
      </x:c>
      <x:c r="D117" s="9" t="n">
        <x:v>3</x:v>
      </x:c>
      <x:c r="E117" s="9" t="str">
        <x:v>D</x:v>
      </x:c>
      <x:c r="F117" s="9" t="str">
        <x:v>high</x:v>
      </x:c>
      <x:c r="G117" s="3" t="str">
        <x:v>BM02
BM04
BM08</x:v>
      </x:c>
      <x:c r="H117" s="3" t="str">
        <x:v>One-session stories retain parent intent and later combined-result checks.</x:v>
      </x:c>
      <x:c r="I117" s="3" t="str">
        <x:v>https://raw.githubusercontent.com/bmad-code-org/BMAD-METHOD/v6.12.2/docs/build/build-a-change.md
https://raw.githubusercontent.com/bmad-code-org/BMAD-METHOD/v6.12.2/docs/plan/define-requirements-and-a-specification.md
https://raw.githubusercontent.com/bmad-code-org/BMAD-METHOD/v6.12.2/docs/build/finish-an-epic.md</x:v>
      </x:c>
    </x:row>
    <x:row r="118" ht="63" customHeight="1">
      <x:c r="A118" s="3" t="str">
        <x:v>BMAD</x:v>
      </x:c>
      <x:c r="B118" s="3" t="str">
        <x:v>BMad Method v6.12.2</x:v>
      </x:c>
      <x:c r="C118" s="3" t="str">
        <x:v>C10</x:v>
      </x:c>
      <x:c r="D118" s="9" t="n">
        <x:v>2</x:v>
      </x:c>
      <x:c r="E118" s="9" t="str">
        <x:v>D</x:v>
      </x:c>
      <x:c r="F118" s="9" t="str">
        <x:v>medium</x:v>
      </x:c>
      <x:c r="G118" s="3" t="str">
        <x:v>BM02
BM05</x:v>
      </x:c>
      <x:c r="H118" s="3" t="str">
        <x:v>Implementation records and preserved tracking support fresh sessions; exact resumption validity narrower.</x:v>
      </x:c>
      <x:c r="I118" s="3" t="str">
        <x:v>https://raw.githubusercontent.com/bmad-code-org/BMAD-METHOD/v6.12.2/docs/build/build-a-change.md
https://raw.githubusercontent.com/bmad-code-org/BMAD-METHOD/v6.12.2/docs/plan/break-work-into-stories-and-track-it.md</x:v>
      </x:c>
    </x:row>
    <x:row r="119" ht="63" customHeight="1">
      <x:c r="A119" s="3" t="str">
        <x:v>BMAD</x:v>
      </x:c>
      <x:c r="B119" s="3" t="str">
        <x:v>BMad Method v6.12.2</x:v>
      </x:c>
      <x:c r="C119" s="3" t="str">
        <x:v>C11</x:v>
      </x:c>
      <x:c r="D119" s="9" t="n">
        <x:v>3</x:v>
      </x:c>
      <x:c r="E119" s="9" t="str">
        <x:v>D</x:v>
      </x:c>
      <x:c r="F119" s="9" t="str">
        <x:v>high</x:v>
      </x:c>
      <x:c r="G119" s="3" t="str">
        <x:v>BM04
BM05</x:v>
      </x:c>
      <x:c r="H119" s="3" t="str">
        <x:v>Missing intent and readiness failures stop or clarify with owning repair skills.</x:v>
      </x:c>
      <x:c r="I119" s="3" t="str">
        <x:v>https://raw.githubusercontent.com/bmad-code-org/BMAD-METHOD/v6.12.2/docs/plan/define-requirements-and-a-specification.md
https://raw.githubusercontent.com/bmad-code-org/BMAD-METHOD/v6.12.2/docs/plan/break-work-into-stories-and-track-it.md</x:v>
      </x:c>
    </x:row>
    <x:row r="120" ht="49.5" customHeight="1">
      <x:c r="A120" s="3" t="str">
        <x:v>BMAD</x:v>
      </x:c>
      <x:c r="B120" s="3" t="str">
        <x:v>BMad Method v6.12.2</x:v>
      </x:c>
      <x:c r="C120" s="3" t="str">
        <x:v>C12</x:v>
      </x:c>
      <x:c r="D120" s="9" t="n">
        <x:v>1</x:v>
      </x:c>
      <x:c r="E120" s="9" t="str">
        <x:v>D</x:v>
      </x:c>
      <x:c r="F120" s="9" t="str">
        <x:v>medium</x:v>
      </x:c>
      <x:c r="G120" s="3" t="str">
        <x:v>BM05</x:v>
      </x:c>
      <x:c r="H120" s="3" t="str">
        <x:v>Tracking regeneration preserves finished work; external effect reconciliation remains unestablished.</x:v>
      </x:c>
      <x:c r="I120" s="3" t="str">
        <x:v>https://raw.githubusercontent.com/bmad-code-org/BMAD-METHOD/v6.12.2/docs/plan/break-work-into-stories-and-track-it.md</x:v>
      </x:c>
    </x:row>
    <x:row r="121" ht="63" customHeight="1">
      <x:c r="A121" s="3" t="str">
        <x:v>BMAD</x:v>
      </x:c>
      <x:c r="B121" s="3" t="str">
        <x:v>BMad Method v6.12.2</x:v>
      </x:c>
      <x:c r="C121" s="3" t="str">
        <x:v>C13</x:v>
      </x:c>
      <x:c r="D121" s="9" t="n">
        <x:v>2</x:v>
      </x:c>
      <x:c r="E121" s="9" t="str">
        <x:v>D</x:v>
      </x:c>
      <x:c r="F121" s="9" t="str">
        <x:v>high</x:v>
      </x:c>
      <x:c r="G121" s="3" t="str">
        <x:v>BM02
BM07</x:v>
      </x:c>
      <x:c r="H121" s="3" t="str">
        <x:v>Irreversible actions and instruction changes have owner checkpoints; enforcement belongs to host.</x:v>
      </x:c>
      <x:c r="I121" s="3" t="str">
        <x:v>https://raw.githubusercontent.com/bmad-code-org/BMAD-METHOD/v6.12.2/docs/build/build-a-change.md
https://raw.githubusercontent.com/bmad-code-org/BMAD-METHOD/v6.12.2/docs/existing-codebases/set-and-maintain-project-context.md</x:v>
      </x:c>
    </x:row>
    <x:row r="122" ht="49.5" customHeight="1">
      <x:c r="A122" s="3" t="str">
        <x:v>BMAD</x:v>
      </x:c>
      <x:c r="B122" s="3" t="str">
        <x:v>BMad Method v6.12.2</x:v>
      </x:c>
      <x:c r="C122" s="3" t="str">
        <x:v>C14</x:v>
      </x:c>
      <x:c r="D122" s="9" t="n">
        <x:v>2</x:v>
      </x:c>
      <x:c r="E122" s="9" t="str">
        <x:v>D</x:v>
      </x:c>
      <x:c r="F122" s="9" t="str">
        <x:v>medium</x:v>
      </x:c>
      <x:c r="G122" s="3" t="str">
        <x:v>BM03</x:v>
      </x:c>
      <x:c r="H122" s="3" t="str">
        <x:v>Fresh parallel reviewers assess supplied intent/diff; stronger oracle separation remains unestablished.</x:v>
      </x:c>
      <x:c r="I122" s="3" t="str">
        <x:v>https://raw.githubusercontent.com/bmad-code-org/BMAD-METHOD/v6.12.2/docs/build/review-a-change.md</x:v>
      </x:c>
    </x:row>
    <x:row r="123" ht="49.5" customHeight="1">
      <x:c r="A123" s="3" t="str">
        <x:v>BMAD</x:v>
      </x:c>
      <x:c r="B123" s="3" t="str">
        <x:v>BMad Method v6.12.2</x:v>
      </x:c>
      <x:c r="C123" s="3" t="str">
        <x:v>C15</x:v>
      </x:c>
      <x:c r="D123" s="9" t="n">
        <x:v>1</x:v>
      </x:c>
      <x:c r="E123" s="9" t="str">
        <x:v>D</x:v>
      </x:c>
      <x:c r="F123" s="9" t="str">
        <x:v>high</x:v>
      </x:c>
      <x:c r="G123" s="3" t="str">
        <x:v>BM06</x:v>
      </x:c>
      <x:c r="H123" s="3" t="str">
        <x:v>Built-in tests derive from existing implementation, not an independent external oracle.</x:v>
      </x:c>
      <x:c r="I123" s="3" t="str">
        <x:v>https://raw.githubusercontent.com/bmad-code-org/BMAD-METHOD/v6.12.2/docs/build/test-completed-work.md</x:v>
      </x:c>
    </x:row>
    <x:row r="124" ht="63" customHeight="1">
      <x:c r="A124" s="3" t="str">
        <x:v>BMAD</x:v>
      </x:c>
      <x:c r="B124" s="3" t="str">
        <x:v>BMad Method v6.12.2</x:v>
      </x:c>
      <x:c r="C124" s="3" t="str">
        <x:v>C16</x:v>
      </x:c>
      <x:c r="D124" s="9" t="n">
        <x:v>3</x:v>
      </x:c>
      <x:c r="E124" s="9" t="str">
        <x:v>D</x:v>
      </x:c>
      <x:c r="F124" s="9" t="str">
        <x:v>high</x:v>
      </x:c>
      <x:c r="G124" s="3" t="str">
        <x:v>BM03
BM08</x:v>
      </x:c>
      <x:c r="H124" s="3" t="str">
        <x:v>Findings, actual behavioral checks, acceptance verdict and human override remain distinct.</x:v>
      </x:c>
      <x:c r="I124" s="3" t="str">
        <x:v>https://raw.githubusercontent.com/bmad-code-org/BMAD-METHOD/v6.12.2/docs/build/review-a-change.md
https://raw.githubusercontent.com/bmad-code-org/BMAD-METHOD/v6.12.2/docs/build/finish-an-epic.md</x:v>
      </x:c>
    </x:row>
    <x:row r="125" ht="49.5" customHeight="1">
      <x:c r="A125" s="3" t="str">
        <x:v>BMAD</x:v>
      </x:c>
      <x:c r="B125" s="3" t="str">
        <x:v>BMad Method v6.12.2</x:v>
      </x:c>
      <x:c r="C125" s="3" t="str">
        <x:v>C17</x:v>
      </x:c>
      <x:c r="D125" s="9" t="n">
        <x:v>2</x:v>
      </x:c>
      <x:c r="E125" s="9" t="str">
        <x:v>D</x:v>
      </x:c>
      <x:c r="F125" s="9" t="str">
        <x:v>high</x:v>
      </x:c>
      <x:c r="G125" s="3" t="str">
        <x:v>BM08</x:v>
      </x:c>
      <x:c r="H125" s="3" t="str">
        <x:v>Verdicts use epic inventory and file/line/commit/log references; immutable full-basis binding unspecified.</x:v>
      </x:c>
      <x:c r="I125" s="3" t="str">
        <x:v>https://raw.githubusercontent.com/bmad-code-org/BMAD-METHOD/v6.12.2/docs/build/finish-an-epic.md</x:v>
      </x:c>
    </x:row>
    <x:row r="126" ht="63" customHeight="1">
      <x:c r="A126" s="3" t="str">
        <x:v>BMAD</x:v>
      </x:c>
      <x:c r="B126" s="3" t="str">
        <x:v>BMad Method v6.12.2</x:v>
      </x:c>
      <x:c r="C126" s="3" t="str">
        <x:v>C18</x:v>
      </x:c>
      <x:c r="D126" s="9" t="n">
        <x:v>2</x:v>
      </x:c>
      <x:c r="E126" s="9" t="str">
        <x:v>D</x:v>
      </x:c>
      <x:c r="F126" s="9" t="str">
        <x:v>medium</x:v>
      </x:c>
      <x:c r="G126" s="3" t="str">
        <x:v>BM03
BM06</x:v>
      </x:c>
      <x:c r="H126" s="3" t="str">
        <x:v>Review lenses and generated QA cover edge/error paths; broad regression controls are narrower.</x:v>
      </x:c>
      <x:c r="I126" s="3" t="str">
        <x:v>https://raw.githubusercontent.com/bmad-code-org/BMAD-METHOD/v6.12.2/docs/build/review-a-change.md
https://raw.githubusercontent.com/bmad-code-org/BMAD-METHOD/v6.12.2/docs/build/test-completed-work.md</x:v>
      </x:c>
    </x:row>
    <x:row r="127" ht="49.5" customHeight="1">
      <x:c r="A127" s="3" t="str">
        <x:v>BMAD</x:v>
      </x:c>
      <x:c r="B127" s="3" t="str">
        <x:v>BMad Method v6.12.2</x:v>
      </x:c>
      <x:c r="C127" s="3" t="str">
        <x:v>C19</x:v>
      </x:c>
      <x:c r="D127" s="9" t="n">
        <x:v>3</x:v>
      </x:c>
      <x:c r="E127" s="9" t="str">
        <x:v>G</x:v>
      </x:c>
      <x:c r="F127" s="9" t="str">
        <x:v>high</x:v>
      </x:c>
      <x:c r="G127" s="3" t="str">
        <x:v>BM01
BM02</x:v>
      </x:c>
      <x:c r="H127" s="3" t="str">
        <x:v>Install and direct build examples expose ordinary first use and optional planning.</x:v>
      </x:c>
      <x:c r="I127" s="3" t="str">
        <x:v>https://raw.githubusercontent.com/bmad-code-org/BMAD-METHOD/v6.12.2/README.md
https://raw.githubusercontent.com/bmad-code-org/BMAD-METHOD/v6.12.2/docs/build/build-a-change.md</x:v>
      </x:c>
    </x:row>
    <x:row r="128" ht="49.5" customHeight="1">
      <x:c r="A128" s="3" t="str">
        <x:v>BMAD</x:v>
      </x:c>
      <x:c r="B128" s="3" t="str">
        <x:v>BMad Method v6.12.2</x:v>
      </x:c>
      <x:c r="C128" s="3" t="str">
        <x:v>C20</x:v>
      </x:c>
      <x:c r="D128" s="9" t="n">
        <x:v>3</x:v>
      </x:c>
      <x:c r="E128" s="9" t="str">
        <x:v>D</x:v>
      </x:c>
      <x:c r="F128" s="9" t="str">
        <x:v>high</x:v>
      </x:c>
      <x:c r="G128" s="3" t="str">
        <x:v>BM01
BM07</x:v>
      </x:c>
      <x:c r="H128" s="3" t="str">
        <x:v>Portable versioned context and source-linked supporting artifacts carry decisions across tools/sessions.</x:v>
      </x:c>
      <x:c r="I128" s="3" t="str">
        <x:v>https://raw.githubusercontent.com/bmad-code-org/BMAD-METHOD/v6.12.2/README.md
https://raw.githubusercontent.com/bmad-code-org/BMAD-METHOD/v6.12.2/docs/existing-codebases/set-and-maintain-project-context.md</x:v>
      </x:c>
    </x:row>
    <x:row r="129" ht="63" customHeight="1">
      <x:c r="A129" s="3" t="str">
        <x:v>BMAD</x:v>
      </x:c>
      <x:c r="B129" s="3" t="str">
        <x:v>BMad Method v6.12.2</x:v>
      </x:c>
      <x:c r="C129" s="3" t="str">
        <x:v>C21</x:v>
      </x:c>
      <x:c r="D129" s="9" t="n">
        <x:v>2</x:v>
      </x:c>
      <x:c r="E129" s="9" t="str">
        <x:v>D</x:v>
      </x:c>
      <x:c r="F129" s="9" t="str">
        <x:v>high</x:v>
      </x:c>
      <x:c r="G129" s="3" t="str">
        <x:v>BM07
BM08</x:v>
      </x:c>
      <x:c r="H129" s="3" t="str">
        <x:v>Observed mistakes and epic findings feed source corrections and subsequent work.</x:v>
      </x:c>
      <x:c r="I129" s="3" t="str">
        <x:v>https://raw.githubusercontent.com/bmad-code-org/BMAD-METHOD/v6.12.2/docs/existing-codebases/set-and-maintain-project-context.md
https://raw.githubusercontent.com/bmad-code-org/BMAD-METHOD/v6.12.2/docs/build/finish-an-epic.md</x:v>
      </x:c>
    </x:row>
    <x:row r="130" ht="49.5" customHeight="1">
      <x:c r="A130" s="3" t="str">
        <x:v>BMAD</x:v>
      </x:c>
      <x:c r="B130" s="3" t="str">
        <x:v>BMad Method v6.12.2</x:v>
      </x:c>
      <x:c r="C130" s="3" t="str">
        <x:v>C22</x:v>
      </x:c>
      <x:c r="D130" s="9" t="str">
        <x:v>U</x:v>
      </x:c>
      <x:c r="E130" s="9" t="str">
        <x:v>U</x:v>
      </x:c>
      <x:c r="F130" s="9" t="str">
        <x:v>low</x:v>
      </x:c>
      <x:c r="G130" s="3" t="str">
        <x:v>BM03</x:v>
      </x:c>
      <x:c r="H130" s="3" t="str">
        <x:v>Qualitative inference-cost discussion does not establish complete measured resource observability.</x:v>
      </x:c>
      <x:c r="I130" s="3" t="str">
        <x:v>https://raw.githubusercontent.com/bmad-code-org/BMAD-METHOD/v6.12.2/docs/build/review-a-change.md</x:v>
      </x:c>
    </x:row>
    <x:row r="131" ht="49.5" customHeight="1">
      <x:c r="A131" s="3" t="str">
        <x:v>BMAD</x:v>
      </x:c>
      <x:c r="B131" s="3" t="str">
        <x:v>BMad Method v6.12.2</x:v>
      </x:c>
      <x:c r="C131" s="3" t="str">
        <x:v>C23</x:v>
      </x:c>
      <x:c r="D131" s="9" t="str">
        <x:v>U</x:v>
      </x:c>
      <x:c r="E131" s="9" t="str">
        <x:v>U</x:v>
      </x:c>
      <x:c r="F131" s="9" t="str">
        <x:v>low</x:v>
      </x:c>
      <x:c r="G131" s="3" t="str">
        <x:v>BM01
BM03</x:v>
      </x:c>
      <x:c r="H131" s="3" t="str">
        <x:v>Reviewed tagged pages contain assertions and suggested A/Bs, not measured method outcomes.</x:v>
      </x:c>
      <x:c r="I131" s="3" t="str">
        <x:v>https://raw.githubusercontent.com/bmad-code-org/BMAD-METHOD/v6.12.2/README.md
https://raw.githubusercontent.com/bmad-code-org/BMAD-METHOD/v6.12.2/docs/build/review-a-change.md</x:v>
      </x:c>
    </x:row>
    <x:row r="132" ht="63" customHeight="1">
      <x:c r="A132" s="3" t="str">
        <x:v>BMAD</x:v>
      </x:c>
      <x:c r="B132" s="3" t="str">
        <x:v>BMad Method v6.12.2</x:v>
      </x:c>
      <x:c r="C132" s="3" t="str">
        <x:v>C24</x:v>
      </x:c>
      <x:c r="D132" s="9" t="str">
        <x:v>U</x:v>
      </x:c>
      <x:c r="E132" s="9" t="str">
        <x:v>U</x:v>
      </x:c>
      <x:c r="F132" s="9" t="str">
        <x:v>low</x:v>
      </x:c>
      <x:c r="G132" s="3" t="str">
        <x:v>BM04
BM07</x:v>
      </x:c>
      <x:c r="H132" s="3" t="str">
        <x:v>Source verification is documented; fresh-actor method/oracle-control qualification remains unestablished.</x:v>
      </x:c>
      <x:c r="I132" s="3" t="str">
        <x:v>https://raw.githubusercontent.com/bmad-code-org/BMAD-METHOD/v6.12.2/docs/plan/define-requirements-and-a-specification.md
https://raw.githubusercontent.com/bmad-code-org/BMAD-METHOD/v6.12.2/docs/existing-codebases/set-and-maintain-project-context.md</x:v>
      </x:c>
    </x:row>
    <x:row r="133" ht="63" customHeight="1">
      <x:c r="A133" s="3" t="str">
        <x:v>BMAD</x:v>
      </x:c>
      <x:c r="B133" s="3" t="str">
        <x:v>BMad Method v6.12.2</x:v>
      </x:c>
      <x:c r="C133" s="3" t="str">
        <x:v>C25</x:v>
      </x:c>
      <x:c r="D133" s="9" t="n">
        <x:v>1</x:v>
      </x:c>
      <x:c r="E133" s="9" t="str">
        <x:v>D</x:v>
      </x:c>
      <x:c r="F133" s="9" t="str">
        <x:v>medium</x:v>
      </x:c>
      <x:c r="G133" s="3" t="str">
        <x:v>BM07
BM09</x:v>
      </x:c>
      <x:c r="H133" s="3" t="str">
        <x:v>Stable worker contract separates caller dispatch fields from stored story context; untrusted-instruction and secret/egress controls remain unestablished.</x:v>
      </x:c>
      <x:c r="I133" s="3" t="str">
        <x:v>https://raw.githubusercontent.com/bmad-code-org/BMAD-METHOD/v6.12.2/docs/existing-codebases/set-and-maintain-project-context.md
https://raw.githubusercontent.com/bmad-code-org/BMAD-METHOD/v6.12.2/docs/build/autonomous-development-loops.md</x:v>
      </x:c>
    </x:row>
    <x:row r="134" ht="63" customHeight="1">
      <x:c r="A134" s="3" t="str">
        <x:v>BMAD</x:v>
      </x:c>
      <x:c r="B134" s="3" t="str">
        <x:v>BMad Method v6.12.2</x:v>
      </x:c>
      <x:c r="C134" s="3" t="str">
        <x:v>C26</x:v>
      </x:c>
      <x:c r="D134" s="9" t="str">
        <x:v>U</x:v>
      </x:c>
      <x:c r="E134" s="9" t="str">
        <x:v>U</x:v>
      </x:c>
      <x:c r="F134" s="9" t="str">
        <x:v>low</x:v>
      </x:c>
      <x:c r="G134" s="3" t="str">
        <x:v>BM02
BM09</x:v>
      </x:c>
      <x:c r="H134" s="3" t="str">
        <x:v>Single-unit sizing is guidance; native spend/token/time/retry ceilings and cancellation guarantees remain unestablished.</x:v>
      </x:c>
      <x:c r="I134" s="3" t="str">
        <x:v>https://raw.githubusercontent.com/bmad-code-org/BMAD-METHOD/v6.12.2/docs/build/build-a-change.md
https://raw.githubusercontent.com/bmad-code-org/BMAD-METHOD/v6.12.2/docs/build/autonomous-development-loops.md</x:v>
      </x:c>
    </x:row>
    <x:row r="135" ht="49.5" customHeight="1">
      <x:c r="A135" s="3" t="str">
        <x:v>OPENSPEC</x:v>
      </x:c>
      <x:c r="B135" s="3" t="str">
        <x:v>Fission AI OpenSpec</x:v>
      </x:c>
      <x:c r="C135" s="3" t="str">
        <x:v>C01</x:v>
      </x:c>
      <x:c r="D135" s="9" t="n">
        <x:v>3</x:v>
      </x:c>
      <x:c r="E135" s="9" t="str">
        <x:v>D</x:v>
      </x:c>
      <x:c r="F135" s="9" t="str">
        <x:v>high</x:v>
      </x:c>
      <x:c r="G135" s="3" t="str">
        <x:v>OP03</x:v>
      </x:c>
      <x:c r="H135" s="3" t="str">
        <x:v>Behavior-first purpose, scope/non-goals and concrete acceptance scenarios precede implementation.</x:v>
      </x:c>
      <x:c r="I135" s="3" t="str">
        <x:v>https://raw.githubusercontent.com/Fission-AI/OpenSpec/main/docs/concepts.md</x:v>
      </x:c>
    </x:row>
    <x:row r="136" ht="49.5" customHeight="1">
      <x:c r="A136" s="3" t="str">
        <x:v>OPENSPEC</x:v>
      </x:c>
      <x:c r="B136" s="3" t="str">
        <x:v>Fission AI OpenSpec</x:v>
      </x:c>
      <x:c r="C136" s="3" t="str">
        <x:v>C02</x:v>
      </x:c>
      <x:c r="D136" s="9" t="n">
        <x:v>3</x:v>
      </x:c>
      <x:c r="E136" s="9" t="str">
        <x:v>D</x:v>
      </x:c>
      <x:c r="F136" s="9" t="str">
        <x:v>high</x:v>
      </x:c>
      <x:c r="G136" s="3" t="str">
        <x:v>OP03</x:v>
      </x:c>
      <x:c r="H136" s="3" t="str">
        <x:v>Requirements/scenarios, technical design and implementation tasks are explicitly separate artifacts.</x:v>
      </x:c>
      <x:c r="I136" s="3" t="str">
        <x:v>https://raw.githubusercontent.com/Fission-AI/OpenSpec/main/docs/concepts.md</x:v>
      </x:c>
    </x:row>
    <x:row r="137" ht="49.5" customHeight="1">
      <x:c r="A137" s="3" t="str">
        <x:v>OPENSPEC</x:v>
      </x:c>
      <x:c r="B137" s="3" t="str">
        <x:v>Fission AI OpenSpec</x:v>
      </x:c>
      <x:c r="C137" s="3" t="str">
        <x:v>C03</x:v>
      </x:c>
      <x:c r="D137" s="9" t="n">
        <x:v>2</x:v>
      </x:c>
      <x:c r="E137" s="9" t="str">
        <x:v>D</x:v>
      </x:c>
      <x:c r="F137" s="9" t="str">
        <x:v>medium</x:v>
      </x:c>
      <x:c r="G137" s="3" t="str">
        <x:v>OP03</x:v>
      </x:c>
      <x:c r="H137" s="3" t="str">
        <x:v>Current agreed specs, proposed deltas and change identities remain separate.</x:v>
      </x:c>
      <x:c r="I137" s="3" t="str">
        <x:v>https://raw.githubusercontent.com/Fission-AI/OpenSpec/main/docs/concepts.md</x:v>
      </x:c>
    </x:row>
    <x:row r="138" ht="49.5" customHeight="1">
      <x:c r="A138" s="3" t="str">
        <x:v>OPENSPEC</x:v>
      </x:c>
      <x:c r="B138" s="3" t="str">
        <x:v>Fission AI OpenSpec</x:v>
      </x:c>
      <x:c r="C138" s="3" t="str">
        <x:v>C04</x:v>
      </x:c>
      <x:c r="D138" s="9" t="n">
        <x:v>1</x:v>
      </x:c>
      <x:c r="E138" s="9" t="str">
        <x:v>R</x:v>
      </x:c>
      <x:c r="F138" s="9" t="str">
        <x:v>medium</x:v>
      </x:c>
      <x:c r="G138" s="3" t="str">
        <x:v>OP03
OP04</x:v>
      </x:c>
      <x:c r="H138" s="3" t="str">
        <x:v>Artifact dependencies and conflict resolution aid joins; obligation conservation remains partial.</x:v>
      </x:c>
      <x:c r="I138" s="3" t="str">
        <x:v>https://raw.githubusercontent.com/Fission-AI/OpenSpec/main/docs/concepts.md
https://raw.githubusercontent.com/Fission-AI/OpenSpec/main/docs/workflows.md</x:v>
      </x:c>
    </x:row>
    <x:row r="139" ht="49.5" customHeight="1">
      <x:c r="A139" s="3" t="str">
        <x:v>OPENSPEC</x:v>
      </x:c>
      <x:c r="B139" s="3" t="str">
        <x:v>Fission AI OpenSpec</x:v>
      </x:c>
      <x:c r="C139" s="3" t="str">
        <x:v>C05</x:v>
      </x:c>
      <x:c r="D139" s="9" t="n">
        <x:v>1</x:v>
      </x:c>
      <x:c r="E139" s="9" t="str">
        <x:v>D</x:v>
      </x:c>
      <x:c r="F139" s="9" t="str">
        <x:v>high</x:v>
      </x:c>
      <x:c r="G139" s="3" t="str">
        <x:v>OP07</x:v>
      </x:c>
      <x:c r="H139" s="3" t="str">
        <x:v>Current artifacts steer work; support invalidation beyond editing/reconciliation remains unestablished.</x:v>
      </x:c>
      <x:c r="I139" s="3" t="str">
        <x:v>https://raw.githubusercontent.com/Fission-AI/OpenSpec/main/docs/editing-changes.md</x:v>
      </x:c>
    </x:row>
    <x:row r="140" ht="49.5" customHeight="1">
      <x:c r="A140" s="3" t="str">
        <x:v>OPENSPEC</x:v>
      </x:c>
      <x:c r="B140" s="3" t="str">
        <x:v>Fission AI OpenSpec</x:v>
      </x:c>
      <x:c r="C140" s="3" t="str">
        <x:v>C06</x:v>
      </x:c>
      <x:c r="D140" s="9" t="str">
        <x:v>U</x:v>
      </x:c>
      <x:c r="E140" s="9" t="str">
        <x:v>U</x:v>
      </x:c>
      <x:c r="F140" s="9" t="str">
        <x:v>low</x:v>
      </x:c>
      <x:c r="G140" s="3" t="str">
        <x:v>OP03
OP05</x:v>
      </x:c>
      <x:c r="H140" s="3" t="str">
        <x:v>Archiving spec changes does not establish constructed-product release/adoption qualification.</x:v>
      </x:c>
      <x:c r="I140" s="3" t="str">
        <x:v>https://raw.githubusercontent.com/Fission-AI/OpenSpec/main/docs/concepts.md
https://raw.githubusercontent.com/Fission-AI/OpenSpec/main/docs/cli.md</x:v>
      </x:c>
    </x:row>
    <x:row r="141" ht="49.5" customHeight="1">
      <x:c r="A141" s="3" t="str">
        <x:v>OPENSPEC</x:v>
      </x:c>
      <x:c r="B141" s="3" t="str">
        <x:v>Fission AI OpenSpec</x:v>
      </x:c>
      <x:c r="C141" s="3" t="str">
        <x:v>C07</x:v>
      </x:c>
      <x:c r="D141" s="9" t="n">
        <x:v>2</x:v>
      </x:c>
      <x:c r="E141" s="9" t="str">
        <x:v>R</x:v>
      </x:c>
      <x:c r="F141" s="9" t="str">
        <x:v>high</x:v>
      </x:c>
      <x:c r="G141" s="3" t="str">
        <x:v>OP05
OP06</x:v>
      </x:c>
      <x:c r="H141" s="3" t="str">
        <x:v>Artifact instructions expose scoped current context, dependency paths and per-artifact rules.</x:v>
      </x:c>
      <x:c r="I141" s="3" t="str">
        <x:v>https://raw.githubusercontent.com/Fission-AI/OpenSpec/main/docs/cli.md
https://raw.githubusercontent.com/Fission-AI/OpenSpec/main/docs/customization.md</x:v>
      </x:c>
    </x:row>
    <x:row r="142" ht="49.5" customHeight="1">
      <x:c r="A142" s="3" t="str">
        <x:v>OPENSPEC</x:v>
      </x:c>
      <x:c r="B142" s="3" t="str">
        <x:v>Fission AI OpenSpec</x:v>
      </x:c>
      <x:c r="C142" s="3" t="str">
        <x:v>C08</x:v>
      </x:c>
      <x:c r="D142" s="9" t="n">
        <x:v>1</x:v>
      </x:c>
      <x:c r="E142" s="9" t="str">
        <x:v>G</x:v>
      </x:c>
      <x:c r="F142" s="9" t="str">
        <x:v>medium</x:v>
      </x:c>
      <x:c r="G142" s="3" t="str">
        <x:v>OP01
OP03</x:v>
      </x:c>
      <x:c r="H142" s="3" t="str">
        <x:v>Clean context and one-session tasks are advised; actual required-context fit unestablished.</x:v>
      </x:c>
      <x:c r="I142" s="3" t="str">
        <x:v>https://github.com/Fission-AI/OpenSpec
https://raw.githubusercontent.com/Fission-AI/OpenSpec/main/docs/concepts.md</x:v>
      </x:c>
    </x:row>
    <x:row r="143" ht="49.5" customHeight="1">
      <x:c r="A143" s="3" t="str">
        <x:v>OPENSPEC</x:v>
      </x:c>
      <x:c r="B143" s="3" t="str">
        <x:v>Fission AI OpenSpec</x:v>
      </x:c>
      <x:c r="C143" s="3" t="str">
        <x:v>C09</x:v>
      </x:c>
      <x:c r="D143" s="9" t="n">
        <x:v>1</x:v>
      </x:c>
      <x:c r="E143" s="9" t="str">
        <x:v>G</x:v>
      </x:c>
      <x:c r="F143" s="9" t="str">
        <x:v>medium</x:v>
      </x:c>
      <x:c r="G143" s="3" t="str">
        <x:v>OP03
OP04</x:v>
      </x:c>
      <x:c r="H143" s="3" t="str">
        <x:v>Small tasks and parallel changes exist; bounded actor delegation/outer-task joins unestablished.</x:v>
      </x:c>
      <x:c r="I143" s="3" t="str">
        <x:v>https://raw.githubusercontent.com/Fission-AI/OpenSpec/main/docs/concepts.md
https://raw.githubusercontent.com/Fission-AI/OpenSpec/main/docs/workflows.md</x:v>
      </x:c>
    </x:row>
    <x:row r="144" ht="49.5" customHeight="1">
      <x:c r="A144" s="3" t="str">
        <x:v>OPENSPEC</x:v>
      </x:c>
      <x:c r="B144" s="3" t="str">
        <x:v>Fission AI OpenSpec</x:v>
      </x:c>
      <x:c r="C144" s="3" t="str">
        <x:v>C10</x:v>
      </x:c>
      <x:c r="D144" s="9" t="n">
        <x:v>2</x:v>
      </x:c>
      <x:c r="E144" s="9" t="str">
        <x:v>R</x:v>
      </x:c>
      <x:c r="F144" s="9" t="str">
        <x:v>medium</x:v>
      </x:c>
      <x:c r="G144" s="3" t="str">
        <x:v>OP04
OP05</x:v>
      </x:c>
      <x:c r="H144" s="3" t="str">
        <x:v>Versionable change files and CLI status support resumption; semantic validity checks narrower.</x:v>
      </x:c>
      <x:c r="I144" s="3" t="str">
        <x:v>https://raw.githubusercontent.com/Fission-AI/OpenSpec/main/docs/workflows.md
https://raw.githubusercontent.com/Fission-AI/OpenSpec/main/docs/cli.md</x:v>
      </x:c>
    </x:row>
    <x:row r="145" ht="49.5" customHeight="1">
      <x:c r="A145" s="3" t="str">
        <x:v>OPENSPEC</x:v>
      </x:c>
      <x:c r="B145" s="3" t="str">
        <x:v>Fission AI OpenSpec</x:v>
      </x:c>
      <x:c r="C145" s="3" t="str">
        <x:v>C11</x:v>
      </x:c>
      <x:c r="D145" s="9" t="n">
        <x:v>2</x:v>
      </x:c>
      <x:c r="E145" s="9" t="str">
        <x:v>R</x:v>
      </x:c>
      <x:c r="F145" s="9" t="str">
        <x:v>high</x:v>
      </x:c>
      <x:c r="G145" s="3" t="str">
        <x:v>OP05</x:v>
      </x:c>
      <x:c r="H145" s="3" t="str">
        <x:v>Invalid retirement/missing confirmations stop before mutation and report concrete corrective commands.</x:v>
      </x:c>
      <x:c r="I145" s="3" t="str">
        <x:v>https://raw.githubusercontent.com/Fission-AI/OpenSpec/main/docs/cli.md</x:v>
      </x:c>
    </x:row>
    <x:row r="146" ht="49.5" customHeight="1">
      <x:c r="A146" s="3" t="str">
        <x:v>OPENSPEC</x:v>
      </x:c>
      <x:c r="B146" s="3" t="str">
        <x:v>Fission AI OpenSpec</x:v>
      </x:c>
      <x:c r="C146" s="3" t="str">
        <x:v>C12</x:v>
      </x:c>
      <x:c r="D146" s="9" t="n">
        <x:v>3</x:v>
      </x:c>
      <x:c r="E146" s="9" t="str">
        <x:v>R</x:v>
      </x:c>
      <x:c r="F146" s="9" t="str">
        <x:v>high</x:v>
      </x:c>
      <x:c r="G146" s="3" t="str">
        <x:v>OP05</x:v>
      </x:c>
      <x:c r="H146" s="3" t="str">
        <x:v>Archive claims destination first, rolls back failures and documents completed-copy cleanup recovery.</x:v>
      </x:c>
      <x:c r="I146" s="3" t="str">
        <x:v>https://raw.githubusercontent.com/Fission-AI/OpenSpec/main/docs/cli.md</x:v>
      </x:c>
    </x:row>
    <x:row r="147" ht="49.5" customHeight="1">
      <x:c r="A147" s="3" t="str">
        <x:v>OPENSPEC</x:v>
      </x:c>
      <x:c r="B147" s="3" t="str">
        <x:v>Fission AI OpenSpec</x:v>
      </x:c>
      <x:c r="C147" s="3" t="str">
        <x:v>C13</x:v>
      </x:c>
      <x:c r="D147" s="9" t="n">
        <x:v>2</x:v>
      </x:c>
      <x:c r="E147" s="9" t="str">
        <x:v>R</x:v>
      </x:c>
      <x:c r="F147" s="9" t="str">
        <x:v>high</x:v>
      </x:c>
      <x:c r="G147" s="3" t="str">
        <x:v>OP05
OP06</x:v>
      </x:c>
      <x:c r="H147" s="3" t="str">
        <x:v>Own archive preconditions/confirmation precede mutations; general agent grants remain host-owned.</x:v>
      </x:c>
      <x:c r="I147" s="3" t="str">
        <x:v>https://raw.githubusercontent.com/Fission-AI/OpenSpec/main/docs/cli.md
https://raw.githubusercontent.com/Fission-AI/OpenSpec/main/docs/customization.md</x:v>
      </x:c>
    </x:row>
    <x:row r="148" ht="49.5" customHeight="1">
      <x:c r="A148" s="3" t="str">
        <x:v>OPENSPEC</x:v>
      </x:c>
      <x:c r="B148" s="3" t="str">
        <x:v>Fission AI OpenSpec</x:v>
      </x:c>
      <x:c r="C148" s="3" t="str">
        <x:v>C14</x:v>
      </x:c>
      <x:c r="D148" s="9" t="n">
        <x:v>1</x:v>
      </x:c>
      <x:c r="E148" s="9" t="str">
        <x:v>D</x:v>
      </x:c>
      <x:c r="F148" s="9" t="str">
        <x:v>medium</x:v>
      </x:c>
      <x:c r="G148" s="3" t="str">
        <x:v>OP04</x:v>
      </x:c>
      <x:c r="H148" s="3" t="str">
        <x:v>Optional verification separates a step; author-independent assessment is not established.</x:v>
      </x:c>
      <x:c r="I148" s="3" t="str">
        <x:v>https://raw.githubusercontent.com/Fission-AI/OpenSpec/main/docs/workflows.md</x:v>
      </x:c>
    </x:row>
    <x:row r="149" ht="49.5" customHeight="1">
      <x:c r="A149" s="3" t="str">
        <x:v>OPENSPEC</x:v>
      </x:c>
      <x:c r="B149" s="3" t="str">
        <x:v>Fission AI OpenSpec</x:v>
      </x:c>
      <x:c r="C149" s="3" t="str">
        <x:v>C15</x:v>
      </x:c>
      <x:c r="D149" s="9" t="n">
        <x:v>1</x:v>
      </x:c>
      <x:c r="E149" s="9" t="str">
        <x:v>D</x:v>
      </x:c>
      <x:c r="F149" s="9" t="str">
        <x:v>medium</x:v>
      </x:c>
      <x:c r="G149" s="3" t="str">
        <x:v>OP03
OP04</x:v>
      </x:c>
      <x:c r="H149" s="3" t="str">
        <x:v>Scenarios state expectations; independent oracles and faulty-checker controls remain unestablished.</x:v>
      </x:c>
      <x:c r="I149" s="3" t="str">
        <x:v>https://raw.githubusercontent.com/Fission-AI/OpenSpec/main/docs/concepts.md
https://raw.githubusercontent.com/Fission-AI/OpenSpec/main/docs/workflows.md</x:v>
      </x:c>
    </x:row>
    <x:row r="150" ht="49.5" customHeight="1">
      <x:c r="A150" s="3" t="str">
        <x:v>OPENSPEC</x:v>
      </x:c>
      <x:c r="B150" s="3" t="str">
        <x:v>Fission AI OpenSpec</x:v>
      </x:c>
      <x:c r="C150" s="3" t="str">
        <x:v>C16</x:v>
      </x:c>
      <x:c r="D150" s="9" t="n">
        <x:v>2</x:v>
      </x:c>
      <x:c r="E150" s="9" t="str">
        <x:v>D</x:v>
      </x:c>
      <x:c r="F150" s="9" t="str">
        <x:v>high</x:v>
      </x:c>
      <x:c r="G150" s="3" t="str">
        <x:v>OP04</x:v>
      </x:c>
      <x:c r="H150" s="3" t="str">
        <x:v>Optional completeness/correctness/coherence reports remain distinct from permission to archive.</x:v>
      </x:c>
      <x:c r="I150" s="3" t="str">
        <x:v>https://raw.githubusercontent.com/Fission-AI/OpenSpec/main/docs/workflows.md</x:v>
      </x:c>
    </x:row>
    <x:row r="151" ht="49.5" customHeight="1">
      <x:c r="A151" s="3" t="str">
        <x:v>OPENSPEC</x:v>
      </x:c>
      <x:c r="B151" s="3" t="str">
        <x:v>Fission AI OpenSpec</x:v>
      </x:c>
      <x:c r="C151" s="3" t="str">
        <x:v>C17</x:v>
      </x:c>
      <x:c r="D151" s="9" t="n">
        <x:v>1</x:v>
      </x:c>
      <x:c r="E151" s="9" t="str">
        <x:v>R</x:v>
      </x:c>
      <x:c r="F151" s="9" t="str">
        <x:v>medium</x:v>
      </x:c>
      <x:c r="G151" s="3" t="str">
        <x:v>OP03
OP05</x:v>
      </x:c>
      <x:c r="H151" s="3" t="str">
        <x:v>Dated archives preserve artifacts; exact immutable verdict subject/basis binding unestablished.</x:v>
      </x:c>
      <x:c r="I151" s="3" t="str">
        <x:v>https://raw.githubusercontent.com/Fission-AI/OpenSpec/main/docs/concepts.md
https://raw.githubusercontent.com/Fission-AI/OpenSpec/main/docs/cli.md</x:v>
      </x:c>
    </x:row>
    <x:row r="152" ht="49.5" customHeight="1">
      <x:c r="A152" s="3" t="str">
        <x:v>OPENSPEC</x:v>
      </x:c>
      <x:c r="B152" s="3" t="str">
        <x:v>Fission AI OpenSpec</x:v>
      </x:c>
      <x:c r="C152" s="3" t="str">
        <x:v>C18</x:v>
      </x:c>
      <x:c r="D152" s="9" t="n">
        <x:v>2</x:v>
      </x:c>
      <x:c r="E152" s="9" t="str">
        <x:v>D</x:v>
      </x:c>
      <x:c r="F152" s="9" t="str">
        <x:v>medium</x:v>
      </x:c>
      <x:c r="G152" s="3" t="str">
        <x:v>OP03
OP04</x:v>
      </x:c>
      <x:c r="H152" s="3" t="str">
        <x:v>Error scenarios and spec/code mismatch checks support bounded negative-case review.</x:v>
      </x:c>
      <x:c r="I152" s="3" t="str">
        <x:v>https://raw.githubusercontent.com/Fission-AI/OpenSpec/main/docs/concepts.md
https://raw.githubusercontent.com/Fission-AI/OpenSpec/main/docs/workflows.md</x:v>
      </x:c>
    </x:row>
    <x:row r="153" ht="49.5" customHeight="1">
      <x:c r="A153" s="3" t="str">
        <x:v>OPENSPEC</x:v>
      </x:c>
      <x:c r="B153" s="3" t="str">
        <x:v>Fission AI OpenSpec</x:v>
      </x:c>
      <x:c r="C153" s="3" t="str">
        <x:v>C19</x:v>
      </x:c>
      <x:c r="D153" s="9" t="n">
        <x:v>3</x:v>
      </x:c>
      <x:c r="E153" s="9" t="str">
        <x:v>G</x:v>
      </x:c>
      <x:c r="F153" s="9" t="str">
        <x:v>high</x:v>
      </x:c>
      <x:c r="G153" s="3" t="str">
        <x:v>OP01
OP02</x:v>
      </x:c>
      <x:c r="H153" s="3" t="str">
        <x:v>Published setup and ordinary change path identify commands, artifacts and profile choices.</x:v>
      </x:c>
      <x:c r="I153" s="3" t="str">
        <x:v>https://github.com/Fission-AI/OpenSpec
https://raw.githubusercontent.com/Fission-AI/OpenSpec/main/docs/getting-started.md</x:v>
      </x:c>
    </x:row>
    <x:row r="154" ht="49.5" customHeight="1">
      <x:c r="A154" s="3" t="str">
        <x:v>OPENSPEC</x:v>
      </x:c>
      <x:c r="B154" s="3" t="str">
        <x:v>Fission AI OpenSpec</x:v>
      </x:c>
      <x:c r="C154" s="3" t="str">
        <x:v>C20</x:v>
      </x:c>
      <x:c r="D154" s="9" t="n">
        <x:v>3</x:v>
      </x:c>
      <x:c r="E154" s="9" t="str">
        <x:v>R</x:v>
      </x:c>
      <x:c r="F154" s="9" t="str">
        <x:v>high</x:v>
      </x:c>
      <x:c r="G154" s="3" t="str">
        <x:v>OP01
OP06</x:v>
      </x:c>
      <x:c r="H154" s="3" t="str">
        <x:v>Reusable schemas and prompt instructions work across supported coding-tool integrations.</x:v>
      </x:c>
      <x:c r="I154" s="3" t="str">
        <x:v>https://github.com/Fission-AI/OpenSpec
https://raw.githubusercontent.com/Fission-AI/OpenSpec/main/docs/customization.md</x:v>
      </x:c>
    </x:row>
    <x:row r="155" ht="49.5" customHeight="1">
      <x:c r="A155" s="3" t="str">
        <x:v>OPENSPEC</x:v>
      </x:c>
      <x:c r="B155" s="3" t="str">
        <x:v>Fission AI OpenSpec</x:v>
      </x:c>
      <x:c r="C155" s="3" t="str">
        <x:v>C21</x:v>
      </x:c>
      <x:c r="D155" s="9" t="n">
        <x:v>2</x:v>
      </x:c>
      <x:c r="E155" s="9" t="str">
        <x:v>D</x:v>
      </x:c>
      <x:c r="F155" s="9" t="str">
        <x:v>medium</x:v>
      </x:c>
      <x:c r="G155" s="3" t="str">
        <x:v>OP04
OP07</x:v>
      </x:c>
      <x:c r="H155" s="3" t="str">
        <x:v>Verification findings feed artifact/code reconciliation; CLI structural validation is distinct.</x:v>
      </x:c>
      <x:c r="I155" s="3" t="str">
        <x:v>https://raw.githubusercontent.com/Fission-AI/OpenSpec/main/docs/workflows.md
https://raw.githubusercontent.com/Fission-AI/OpenSpec/main/docs/editing-changes.md</x:v>
      </x:c>
    </x:row>
    <x:row r="156" ht="49.5" customHeight="1">
      <x:c r="A156" s="3" t="str">
        <x:v>OPENSPEC</x:v>
      </x:c>
      <x:c r="B156" s="3" t="str">
        <x:v>Fission AI OpenSpec</x:v>
      </x:c>
      <x:c r="C156" s="3" t="str">
        <x:v>C22</x:v>
      </x:c>
      <x:c r="D156" s="9" t="str">
        <x:v>U</x:v>
      </x:c>
      <x:c r="E156" s="9" t="str">
        <x:v>U</x:v>
      </x:c>
      <x:c r="F156" s="9" t="str">
        <x:v>low</x:v>
      </x:c>
      <x:c r="G156" s="3" t="str">
        <x:v>OP01
OP05</x:v>
      </x:c>
      <x:c r="H156" s="3" t="str">
        <x:v>Command/version telemetry does not establish complete actor cost/resource observability.</x:v>
      </x:c>
      <x:c r="I156" s="3" t="str">
        <x:v>https://github.com/Fission-AI/OpenSpec
https://raw.githubusercontent.com/Fission-AI/OpenSpec/main/docs/cli.md</x:v>
      </x:c>
    </x:row>
    <x:row r="157" ht="49.5" customHeight="1">
      <x:c r="A157" s="3" t="str">
        <x:v>OPENSPEC</x:v>
      </x:c>
      <x:c r="B157" s="3" t="str">
        <x:v>Fission AI OpenSpec</x:v>
      </x:c>
      <x:c r="C157" s="3" t="str">
        <x:v>C23</x:v>
      </x:c>
      <x:c r="D157" s="9" t="str">
        <x:v>U</x:v>
      </x:c>
      <x:c r="E157" s="9" t="str">
        <x:v>U</x:v>
      </x:c>
      <x:c r="F157" s="9" t="str">
        <x:v>low</x:v>
      </x:c>
      <x:c r="G157" s="3" t="str">
        <x:v>OP01
OP02</x:v>
      </x:c>
      <x:c r="H157" s="3" t="str">
        <x:v>No measured selected-workflow effectiveness study established in reviewed primary pages.</x:v>
      </x:c>
      <x:c r="I157" s="3" t="str">
        <x:v>https://github.com/Fission-AI/OpenSpec
https://raw.githubusercontent.com/Fission-AI/OpenSpec/main/docs/getting-started.md</x:v>
      </x:c>
    </x:row>
    <x:row r="158" ht="49.5" customHeight="1">
      <x:c r="A158" s="3" t="str">
        <x:v>OPENSPEC</x:v>
      </x:c>
      <x:c r="B158" s="3" t="str">
        <x:v>Fission AI OpenSpec</x:v>
      </x:c>
      <x:c r="C158" s="3" t="str">
        <x:v>C24</x:v>
      </x:c>
      <x:c r="D158" s="9" t="n">
        <x:v>1</x:v>
      </x:c>
      <x:c r="E158" s="9" t="str">
        <x:v>G</x:v>
      </x:c>
      <x:c r="F158" s="9" t="str">
        <x:v>high</x:v>
      </x:c>
      <x:c r="G158" s="3" t="str">
        <x:v>OP01</x:v>
      </x:c>
      <x:c r="H158" s="3" t="str">
        <x:v>Repository self-use is explicit; fresh-actor fidelity and faulty-oracle controls unestablished.</x:v>
      </x:c>
      <x:c r="I158" s="3" t="str">
        <x:v>https://github.com/Fission-AI/OpenSpec</x:v>
      </x:c>
    </x:row>
    <x:row r="159" ht="49.5" customHeight="1">
      <x:c r="A159" s="3" t="str">
        <x:v>OPENSPEC</x:v>
      </x:c>
      <x:c r="B159" s="3" t="str">
        <x:v>Fission AI OpenSpec</x:v>
      </x:c>
      <x:c r="C159" s="3" t="str">
        <x:v>C25</x:v>
      </x:c>
      <x:c r="D159" s="9" t="str">
        <x:v>U</x:v>
      </x:c>
      <x:c r="E159" s="9" t="str">
        <x:v>U</x:v>
      </x:c>
      <x:c r="F159" s="9" t="str">
        <x:v>low</x:v>
      </x:c>
      <x:c r="G159" s="3" t="str">
        <x:v>OP05
OP06</x:v>
      </x:c>
      <x:c r="H159" s="3" t="str">
        <x:v>Context/rules injection is documented; untrusted-instruction authority and secret/data-egress constraints remain unestablished.</x:v>
      </x:c>
      <x:c r="I159" s="3" t="str">
        <x:v>https://raw.githubusercontent.com/Fission-AI/OpenSpec/main/docs/cli.md
https://raw.githubusercontent.com/Fission-AI/OpenSpec/main/docs/customization.md</x:v>
      </x:c>
    </x:row>
    <x:row r="160" ht="49.5" customHeight="1">
      <x:c r="A160" s="3" t="str">
        <x:v>OPENSPEC</x:v>
      </x:c>
      <x:c r="B160" s="3" t="str">
        <x:v>Fission AI OpenSpec</x:v>
      </x:c>
      <x:c r="C160" s="3" t="str">
        <x:v>C26</x:v>
      </x:c>
      <x:c r="D160" s="9" t="str">
        <x:v>U</x:v>
      </x:c>
      <x:c r="E160" s="9" t="str">
        <x:v>U</x:v>
      </x:c>
      <x:c r="F160" s="9" t="str">
        <x:v>low</x:v>
      </x:c>
      <x:c r="G160" s="3" t="str">
        <x:v>OP04
OP05</x:v>
      </x:c>
      <x:c r="H160" s="3" t="str">
        <x:v>Workflow/CLI documentation does not establish native agent spend/token/runtime/iteration ceilings or cancellation coverage.</x:v>
      </x:c>
      <x:c r="I160" s="3" t="str">
        <x:v>https://raw.githubusercontent.com/Fission-AI/OpenSpec/main/docs/workflows.md
https://raw.githubusercontent.com/Fission-AI/OpenSpec/main/docs/cli.md</x:v>
      </x:c>
    </x:row>
    <x:row r="161" ht="49.5" customHeight="1">
      <x:c r="A161" s="3" t="str">
        <x:v>CODEX</x:v>
      </x:c>
      <x:c r="B161" s="3" t="str">
        <x:v>OpenAI Codex</x:v>
      </x:c>
      <x:c r="C161" s="3" t="str">
        <x:v>C01</x:v>
      </x:c>
      <x:c r="D161" s="9" t="n">
        <x:v>2</x:v>
      </x:c>
      <x:c r="E161" s="9" t="str">
        <x:v>G</x:v>
      </x:c>
      <x:c r="F161" s="9" t="str">
        <x:v>medium</x:v>
      </x:c>
      <x:c r="G161" s="3" t="str">
        <x:v>CODEX-S6</x:v>
      </x:c>
      <x:c r="H161" s="3" t="str">
        <x:v>Repair example defines target, business rules and checks; owner/outcome contract remains caller supplied.</x:v>
      </x:c>
      <x:c r="I161" s="3" t="str">
        <x:v>https://developers.openai.com/cookbook/examples/codex/build_iterative_repair_loops_with_codex</x:v>
      </x:c>
    </x:row>
    <x:row r="162" ht="49.5" customHeight="1">
      <x:c r="A162" s="3" t="str">
        <x:v>CODEX</x:v>
      </x:c>
      <x:c r="B162" s="3" t="str">
        <x:v>OpenAI Codex</x:v>
      </x:c>
      <x:c r="C162" s="3" t="str">
        <x:v>C02</x:v>
      </x:c>
      <x:c r="D162" s="9" t="n">
        <x:v>1</x:v>
      </x:c>
      <x:c r="E162" s="9" t="str">
        <x:v>G</x:v>
      </x:c>
      <x:c r="F162" s="9" t="str">
        <x:v>medium</x:v>
      </x:c>
      <x:c r="G162" s="3" t="str">
        <x:v>CODEX-S5
CODEX-S6</x:v>
      </x:c>
      <x:c r="H162" s="3" t="str">
        <x:v>Rules and phases aid traceability; no harness-wide requirements/realization relation is established.</x:v>
      </x:c>
      <x:c r="I162" s="3" t="str">
        <x:v>https://learn.chatgpt.com/docs/agent-configuration/agents-md
https://developers.openai.com/cookbook/examples/codex/build_iterative_repair_loops_with_codex</x:v>
      </x:c>
    </x:row>
    <x:row r="163" ht="49.5" customHeight="1">
      <x:c r="A163" s="3" t="str">
        <x:v>CODEX</x:v>
      </x:c>
      <x:c r="B163" s="3" t="str">
        <x:v>OpenAI Codex</x:v>
      </x:c>
      <x:c r="C163" s="3" t="str">
        <x:v>C03</x:v>
      </x:c>
      <x:c r="D163" s="9" t="n">
        <x:v>1</x:v>
      </x:c>
      <x:c r="E163" s="9" t="str">
        <x:v>R</x:v>
      </x:c>
      <x:c r="F163" s="9" t="str">
        <x:v>medium</x:v>
      </x:c>
      <x:c r="G163" s="3" t="str">
        <x:v>CODEX-S4</x:v>
      </x:c>
      <x:c r="H163" s="3" t="str">
        <x:v>Thread/turn/item IDs distinguish execution records; semantic subject identity remains application interpreted.</x:v>
      </x:c>
      <x:c r="I163" s="3" t="str">
        <x:v>https://learn.chatgpt.com/docs/app-server</x:v>
      </x:c>
    </x:row>
    <x:row r="164" ht="49.5" customHeight="1">
      <x:c r="A164" s="3" t="str">
        <x:v>CODEX</x:v>
      </x:c>
      <x:c r="B164" s="3" t="str">
        <x:v>OpenAI Codex</x:v>
      </x:c>
      <x:c r="C164" s="3" t="str">
        <x:v>C04</x:v>
      </x:c>
      <x:c r="D164" s="9" t="str">
        <x:v>U</x:v>
      </x:c>
      <x:c r="E164" s="9" t="str">
        <x:v>U</x:v>
      </x:c>
      <x:c r="F164" s="9" t="str">
        <x:v>low</x:v>
      </x:c>
      <x:c r="G164" s="3" t="str">
        <x:v>CODEX-S3
CODEX-S5</x:v>
      </x:c>
      <x:c r="H164" s="3" t="str">
        <x:v>Delegation and instruction layering do not establish conservation of constraints, known failure and missing coverage at joins.</x:v>
      </x:c>
      <x:c r="I164" s="3" t="str">
        <x:v>https://learn.chatgpt.com/docs/agent-configuration/subagents
https://learn.chatgpt.com/docs/agent-configuration/agents-md</x:v>
      </x:c>
    </x:row>
    <x:row r="165" ht="49.5" customHeight="1">
      <x:c r="A165" s="3" t="str">
        <x:v>CODEX</x:v>
      </x:c>
      <x:c r="B165" s="3" t="str">
        <x:v>OpenAI Codex</x:v>
      </x:c>
      <x:c r="C165" s="3" t="str">
        <x:v>C05</x:v>
      </x:c>
      <x:c r="D165" s="9" t="n">
        <x:v>1</x:v>
      </x:c>
      <x:c r="E165" s="9" t="str">
        <x:v>G</x:v>
      </x:c>
      <x:c r="F165" s="9" t="str">
        <x:v>medium</x:v>
      </x:c>
      <x:c r="G165" s="3" t="str">
        <x:v>CODEX-S6</x:v>
      </x:c>
      <x:c r="H165" s="3" t="str">
        <x:v>Repair consumes fresh validation feedback; selective changed-requirement support invalidation is unspecified.</x:v>
      </x:c>
      <x:c r="I165" s="3" t="str">
        <x:v>https://developers.openai.com/cookbook/examples/codex/build_iterative_repair_loops_with_codex</x:v>
      </x:c>
    </x:row>
    <x:row r="166" ht="49.5" customHeight="1">
      <x:c r="A166" s="3" t="str">
        <x:v>CODEX</x:v>
      </x:c>
      <x:c r="B166" s="3" t="str">
        <x:v>OpenAI Codex</x:v>
      </x:c>
      <x:c r="C166" s="3" t="str">
        <x:v>C06</x:v>
      </x:c>
      <x:c r="D166" s="9" t="str">
        <x:v>NA</x:v>
      </x:c>
      <x:c r="E166" s="9" t="str">
        <x:v>G</x:v>
      </x:c>
      <x:c r="F166" s="9" t="str">
        <x:v>high</x:v>
      </x:c>
      <x:c r="G166" s="3" t="str">
        <x:v>CODEX-S4</x:v>
      </x:c>
      <x:c r="H166" s="3" t="str">
        <x:v>Constructed-product qualification and adoption belong to the surrounding product owner, outside this coding harness mandate.</x:v>
      </x:c>
      <x:c r="I166" s="3" t="str">
        <x:v>https://learn.chatgpt.com/docs/app-server</x:v>
      </x:c>
    </x:row>
    <x:row r="167" ht="49.5" customHeight="1">
      <x:c r="A167" s="3" t="str">
        <x:v>CODEX</x:v>
      </x:c>
      <x:c r="B167" s="3" t="str">
        <x:v>OpenAI Codex</x:v>
      </x:c>
      <x:c r="C167" s="3" t="str">
        <x:v>C07</x:v>
      </x:c>
      <x:c r="D167" s="9" t="n">
        <x:v>2</x:v>
      </x:c>
      <x:c r="E167" s="9" t="str">
        <x:v>R</x:v>
      </x:c>
      <x:c r="F167" s="9" t="str">
        <x:v>high</x:v>
      </x:c>
      <x:c r="G167" s="3" t="str">
        <x:v>CODEX-S2
CODEX-S3
CODEX-S5</x:v>
      </x:c>
      <x:c r="H167" s="3" t="str">
        <x:v>Scoped instruction discovery, progressive skill loading and isolated research support targeted context; exclusions can still omit required guidance.</x:v>
      </x:c>
      <x:c r="I167" s="3" t="str">
        <x:v>https://learn.chatgpt.com/docs/build-skills
https://learn.chatgpt.com/docs/agent-configuration/subagents
https://learn.chatgpt.com/docs/agent-configuration/agents-md</x:v>
      </x:c>
    </x:row>
    <x:row r="168" ht="49.5" customHeight="1">
      <x:c r="A168" s="3" t="str">
        <x:v>CODEX</x:v>
      </x:c>
      <x:c r="B168" s="3" t="str">
        <x:v>OpenAI Codex</x:v>
      </x:c>
      <x:c r="C168" s="3" t="str">
        <x:v>C08</x:v>
      </x:c>
      <x:c r="D168" s="9" t="n">
        <x:v>1</x:v>
      </x:c>
      <x:c r="E168" s="9" t="str">
        <x:v>R</x:v>
      </x:c>
      <x:c r="F168" s="9" t="str">
        <x:v>high</x:v>
      </x:c>
      <x:c r="G168" s="3" t="str">
        <x:v>CODEX-S2
CODEX-S4
CODEX-S5</x:v>
      </x:c>
      <x:c r="H168" s="3" t="str">
        <x:v>Loading caps, warnings, compaction and goal budgets manage pressure; no admission check counts all required task context.</x:v>
      </x:c>
      <x:c r="I168" s="3" t="str">
        <x:v>https://learn.chatgpt.com/docs/build-skills
https://learn.chatgpt.com/docs/app-server
https://learn.chatgpt.com/docs/agent-configuration/agents-md</x:v>
      </x:c>
    </x:row>
    <x:row r="169" ht="49.5" customHeight="1">
      <x:c r="A169" s="3" t="str">
        <x:v>CODEX</x:v>
      </x:c>
      <x:c r="B169" s="3" t="str">
        <x:v>OpenAI Codex</x:v>
      </x:c>
      <x:c r="C169" s="3" t="str">
        <x:v>C09</x:v>
      </x:c>
      <x:c r="D169" s="9" t="n">
        <x:v>2</x:v>
      </x:c>
      <x:c r="E169" s="9" t="str">
        <x:v>R</x:v>
      </x:c>
      <x:c r="F169" s="9" t="str">
        <x:v>high</x:v>
      </x:c>
      <x:c r="G169" s="3" t="str">
        <x:v>CODEX-S3</x:v>
      </x:c>
      <x:c r="H169" s="3" t="str">
        <x:v>Native subagent spawning, follow-up, waiting and consolidated results preserve parent control within documented delegation scope.</x:v>
      </x:c>
      <x:c r="I169" s="3" t="str">
        <x:v>https://learn.chatgpt.com/docs/agent-configuration/subagents</x:v>
      </x:c>
    </x:row>
    <x:row r="170" ht="49.5" customHeight="1">
      <x:c r="A170" s="3" t="str">
        <x:v>CODEX</x:v>
      </x:c>
      <x:c r="B170" s="3" t="str">
        <x:v>OpenAI Codex</x:v>
      </x:c>
      <x:c r="C170" s="3" t="str">
        <x:v>C10</x:v>
      </x:c>
      <x:c r="D170" s="9" t="n">
        <x:v>2</x:v>
      </x:c>
      <x:c r="E170" s="9" t="str">
        <x:v>R</x:v>
      </x:c>
      <x:c r="F170" s="9" t="str">
        <x:v>high</x:v>
      </x:c>
      <x:c r="G170" s="3" t="str">
        <x:v>CODEX-S4</x:v>
      </x:c>
      <x:c r="H170" s="3" t="str">
        <x:v>Stored threads resume with required-MCP refusal and model-change warnings; prior evidence validity remains unproven.</x:v>
      </x:c>
      <x:c r="I170" s="3" t="str">
        <x:v>https://learn.chatgpt.com/docs/app-server</x:v>
      </x:c>
    </x:row>
    <x:row r="171" ht="49.5" customHeight="1">
      <x:c r="A171" s="3" t="str">
        <x:v>CODEX</x:v>
      </x:c>
      <x:c r="B171" s="3" t="str">
        <x:v>OpenAI Codex</x:v>
      </x:c>
      <x:c r="C171" s="3" t="str">
        <x:v>C11</x:v>
      </x:c>
      <x:c r="D171" s="9" t="n">
        <x:v>2</x:v>
      </x:c>
      <x:c r="E171" s="9" t="str">
        <x:v>R</x:v>
      </x:c>
      <x:c r="F171" s="9" t="str">
        <x:v>high</x:v>
      </x:c>
      <x:c r="G171" s="3" t="str">
        <x:v>CODEX-S1
CODEX-S4</x:v>
      </x:c>
      <x:c r="H171" s="3" t="str">
        <x:v>Denials, interruptions and errors differ; semantic unknown remains caller classified.</x:v>
      </x:c>
      <x:c r="I171" s="3" t="str">
        <x:v>https://learn.chatgpt.com/docs/agent-approvals-security
https://learn.chatgpt.com/docs/app-server</x:v>
      </x:c>
    </x:row>
    <x:row r="172" ht="49.5" customHeight="1">
      <x:c r="A172" s="3" t="str">
        <x:v>CODEX</x:v>
      </x:c>
      <x:c r="B172" s="3" t="str">
        <x:v>OpenAI Codex</x:v>
      </x:c>
      <x:c r="C172" s="3" t="str">
        <x:v>C12</x:v>
      </x:c>
      <x:c r="D172" s="9" t="n">
        <x:v>1</x:v>
      </x:c>
      <x:c r="E172" s="9" t="str">
        <x:v>R</x:v>
      </x:c>
      <x:c r="F172" s="9" t="str">
        <x:v>high</x:v>
      </x:c>
      <x:c r="G172" s="3" t="str">
        <x:v>CODEX-S4</x:v>
      </x:c>
      <x:c r="H172" s="3" t="str">
        <x:v>History rollback preserves continuity; uncertain external-effect reconciliation and idempotency remain unestablished.</x:v>
      </x:c>
      <x:c r="I172" s="3" t="str">
        <x:v>https://learn.chatgpt.com/docs/app-server</x:v>
      </x:c>
    </x:row>
    <x:row r="173" ht="49.5" customHeight="1">
      <x:c r="A173" s="3" t="str">
        <x:v>CODEX</x:v>
      </x:c>
      <x:c r="B173" s="3" t="str">
        <x:v>OpenAI Codex</x:v>
      </x:c>
      <x:c r="C173" s="3" t="str">
        <x:v>C13</x:v>
      </x:c>
      <x:c r="D173" s="9" t="n">
        <x:v>3</x:v>
      </x:c>
      <x:c r="E173" s="9" t="str">
        <x:v>R</x:v>
      </x:c>
      <x:c r="F173" s="9" t="str">
        <x:v>high</x:v>
      </x:c>
      <x:c r="G173" s="3" t="str">
        <x:v>CODEX-S1
CODEX-S4</x:v>
      </x:c>
      <x:c r="H173" s="3" t="str">
        <x:v>Sandbox and approval policies constrain model execution before effects; user shell operations have separate documented execution scope.</x:v>
      </x:c>
      <x:c r="I173" s="3" t="str">
        <x:v>https://learn.chatgpt.com/docs/agent-approvals-security
https://learn.chatgpt.com/docs/app-server</x:v>
      </x:c>
    </x:row>
    <x:row r="174" ht="49.5" customHeight="1">
      <x:c r="A174" s="3" t="str">
        <x:v>CODEX</x:v>
      </x:c>
      <x:c r="B174" s="3" t="str">
        <x:v>OpenAI Codex</x:v>
      </x:c>
      <x:c r="C174" s="3" t="str">
        <x:v>C14</x:v>
      </x:c>
      <x:c r="D174" s="9" t="n">
        <x:v>1</x:v>
      </x:c>
      <x:c r="E174" s="9" t="str">
        <x:v>G</x:v>
      </x:c>
      <x:c r="F174" s="9" t="str">
        <x:v>medium</x:v>
      </x:c>
      <x:c r="G174" s="3" t="str">
        <x:v>CODEX-S4
CODEX-S6</x:v>
      </x:c>
      <x:c r="H174" s="3" t="str">
        <x:v>Reviewer and validation phases separate work; claim-relative reference independence remains unqualified.</x:v>
      </x:c>
      <x:c r="I174" s="3" t="str">
        <x:v>https://learn.chatgpt.com/docs/app-server
https://developers.openai.com/cookbook/examples/codex/build_iterative_repair_loops_with_codex</x:v>
      </x:c>
    </x:row>
    <x:row r="175" ht="49.5" customHeight="1">
      <x:c r="A175" s="3" t="str">
        <x:v>CODEX</x:v>
      </x:c>
      <x:c r="B175" s="3" t="str">
        <x:v>OpenAI Codex</x:v>
      </x:c>
      <x:c r="C175" s="3" t="str">
        <x:v>C15</x:v>
      </x:c>
      <x:c r="D175" s="9" t="n">
        <x:v>1</x:v>
      </x:c>
      <x:c r="E175" s="9" t="str">
        <x:v>G</x:v>
      </x:c>
      <x:c r="F175" s="9" t="str">
        <x:v>medium</x:v>
      </x:c>
      <x:c r="G175" s="3" t="str">
        <x:v>CODEX-S6</x:v>
      </x:c>
      <x:c r="H175" s="3" t="str">
        <x:v>Recipe rubrics precede repair; independent expectations and faulty-evaluator controls remain unqualified.</x:v>
      </x:c>
      <x:c r="I175" s="3" t="str">
        <x:v>https://developers.openai.com/cookbook/examples/codex/build_iterative_repair_loops_with_codex</x:v>
      </x:c>
    </x:row>
    <x:row r="176" ht="49.5" customHeight="1">
      <x:c r="A176" s="3" t="str">
        <x:v>CODEX</x:v>
      </x:c>
      <x:c r="B176" s="3" t="str">
        <x:v>OpenAI Codex</x:v>
      </x:c>
      <x:c r="C176" s="3" t="str">
        <x:v>C16</x:v>
      </x:c>
      <x:c r="D176" s="9" t="n">
        <x:v>1</x:v>
      </x:c>
      <x:c r="E176" s="9" t="str">
        <x:v>G</x:v>
      </x:c>
      <x:c r="F176" s="9" t="str">
        <x:v>medium</x:v>
      </x:c>
      <x:c r="G176" s="3" t="str">
        <x:v>CODEX-S6</x:v>
      </x:c>
      <x:c r="H176" s="3" t="str">
        <x:v>Findings, repair and validation differ; semantic judgment and owner acceptance lack a general contract.</x:v>
      </x:c>
      <x:c r="I176" s="3" t="str">
        <x:v>https://developers.openai.com/cookbook/examples/codex/build_iterative_repair_loops_with_codex</x:v>
      </x:c>
    </x:row>
    <x:row r="177" ht="49.5" customHeight="1">
      <x:c r="A177" s="3" t="str">
        <x:v>CODEX</x:v>
      </x:c>
      <x:c r="B177" s="3" t="str">
        <x:v>OpenAI Codex</x:v>
      </x:c>
      <x:c r="C177" s="3" t="str">
        <x:v>C17</x:v>
      </x:c>
      <x:c r="D177" s="9" t="n">
        <x:v>2</x:v>
      </x:c>
      <x:c r="E177" s="9" t="str">
        <x:v>G</x:v>
      </x:c>
      <x:c r="F177" s="9" t="str">
        <x:v>medium</x:v>
      </x:c>
      <x:c r="G177" s="3" t="str">
        <x:v>CODEX-S4
CODEX-S6</x:v>
      </x:c>
      <x:c r="H177" s="3" t="str">
        <x:v>Item IDs and iteration records bind artifacts/feedback; exact governing-basis provenance needs application design.</x:v>
      </x:c>
      <x:c r="I177" s="3" t="str">
        <x:v>https://learn.chatgpt.com/docs/app-server
https://developers.openai.com/cookbook/examples/codex/build_iterative_repair_loops_with_codex</x:v>
      </x:c>
    </x:row>
    <x:row r="178" ht="49.5" customHeight="1">
      <x:c r="A178" s="3" t="str">
        <x:v>CODEX</x:v>
      </x:c>
      <x:c r="B178" s="3" t="str">
        <x:v>OpenAI Codex</x:v>
      </x:c>
      <x:c r="C178" s="3" t="str">
        <x:v>C18</x:v>
      </x:c>
      <x:c r="D178" s="9" t="n">
        <x:v>2</x:v>
      </x:c>
      <x:c r="E178" s="9" t="str">
        <x:v>G</x:v>
      </x:c>
      <x:c r="F178" s="9" t="str">
        <x:v>medium</x:v>
      </x:c>
      <x:c r="G178" s="3" t="str">
        <x:v>CODEX-S6</x:v>
      </x:c>
      <x:c r="H178" s="3" t="str">
        <x:v>Stale notebooks and failure-driven repair give scoped negative/regression paths.</x:v>
      </x:c>
      <x:c r="I178" s="3" t="str">
        <x:v>https://developers.openai.com/cookbook/examples/codex/build_iterative_repair_loops_with_codex</x:v>
      </x:c>
    </x:row>
    <x:row r="179" ht="49.5" customHeight="1">
      <x:c r="A179" s="3" t="str">
        <x:v>CODEX</x:v>
      </x:c>
      <x:c r="B179" s="3" t="str">
        <x:v>OpenAI Codex</x:v>
      </x:c>
      <x:c r="C179" s="3" t="str">
        <x:v>C19</x:v>
      </x:c>
      <x:c r="D179" s="9" t="n">
        <x:v>3</x:v>
      </x:c>
      <x:c r="E179" s="9" t="str">
        <x:v>G</x:v>
      </x:c>
      <x:c r="F179" s="9" t="str">
        <x:v>high</x:v>
      </x:c>
      <x:c r="G179" s="3" t="str">
        <x:v>CODEX-S2
CODEX-S6</x:v>
      </x:c>
      <x:c r="H179" s="3" t="str">
        <x:v>Public skill authoring and executable repair recipe provide ordinary entry paths.</x:v>
      </x:c>
      <x:c r="I179" s="3" t="str">
        <x:v>https://learn.chatgpt.com/docs/build-skills
https://developers.openai.com/cookbook/examples/codex/build_iterative_repair_loops_with_codex</x:v>
      </x:c>
    </x:row>
    <x:row r="180" ht="49.5" customHeight="1">
      <x:c r="A180" s="3" t="str">
        <x:v>CODEX</x:v>
      </x:c>
      <x:c r="B180" s="3" t="str">
        <x:v>OpenAI Codex</x:v>
      </x:c>
      <x:c r="C180" s="3" t="str">
        <x:v>C20</x:v>
      </x:c>
      <x:c r="D180" s="9" t="n">
        <x:v>3</x:v>
      </x:c>
      <x:c r="E180" s="9" t="str">
        <x:v>R</x:v>
      </x:c>
      <x:c r="F180" s="9" t="str">
        <x:v>high</x:v>
      </x:c>
      <x:c r="G180" s="3" t="str">
        <x:v>CODEX-S2
CODEX-S5</x:v>
      </x:c>
      <x:c r="H180" s="3" t="str">
        <x:v>Source-backed AGENTS.md and standard SKILL.md packages reuse instructions, scripts and references across tasks and supported surfaces.</x:v>
      </x:c>
      <x:c r="I180" s="3" t="str">
        <x:v>https://learn.chatgpt.com/docs/build-skills
https://learn.chatgpt.com/docs/agent-configuration/agents-md</x:v>
      </x:c>
    </x:row>
    <x:row r="181" ht="49.5" customHeight="1">
      <x:c r="A181" s="3" t="str">
        <x:v>CODEX</x:v>
      </x:c>
      <x:c r="B181" s="3" t="str">
        <x:v>OpenAI Codex</x:v>
      </x:c>
      <x:c r="C181" s="3" t="str">
        <x:v>C21</x:v>
      </x:c>
      <x:c r="D181" s="9" t="n">
        <x:v>2</x:v>
      </x:c>
      <x:c r="E181" s="9" t="str">
        <x:v>G</x:v>
      </x:c>
      <x:c r="F181" s="9" t="str">
        <x:v>high</x:v>
      </x:c>
      <x:c r="G181" s="3" t="str">
        <x:v>CODEX-S6</x:v>
      </x:c>
      <x:c r="H181" s="3" t="str">
        <x:v>Recorded validation failures feed focused repair; this recipe is not universal method qualification.</x:v>
      </x:c>
      <x:c r="I181" s="3" t="str">
        <x:v>https://developers.openai.com/cookbook/examples/codex/build_iterative_repair_loops_with_codex</x:v>
      </x:c>
    </x:row>
    <x:row r="182" ht="49.5" customHeight="1">
      <x:c r="A182" s="3" t="str">
        <x:v>CODEX</x:v>
      </x:c>
      <x:c r="B182" s="3" t="str">
        <x:v>OpenAI Codex</x:v>
      </x:c>
      <x:c r="C182" s="3" t="str">
        <x:v>C22</x:v>
      </x:c>
      <x:c r="D182" s="9" t="n">
        <x:v>2</x:v>
      </x:c>
      <x:c r="E182" s="9" t="str">
        <x:v>R</x:v>
      </x:c>
      <x:c r="F182" s="9" t="str">
        <x:v>medium</x:v>
      </x:c>
      <x:c r="G182" s="3" t="str">
        <x:v>CODEX-S3
CODEX-S4</x:v>
      </x:c>
      <x:c r="H182" s="3" t="str">
        <x:v>Usage events and execution durations exist; required active context and whole-tree critical-path versus aggregate accounting are not fully established.</x:v>
      </x:c>
      <x:c r="I182" s="3" t="str">
        <x:v>https://learn.chatgpt.com/docs/agent-configuration/subagents
https://learn.chatgpt.com/docs/app-server</x:v>
      </x:c>
    </x:row>
    <x:row r="183" ht="49.5" customHeight="1">
      <x:c r="A183" s="3" t="str">
        <x:v>CODEX</x:v>
      </x:c>
      <x:c r="B183" s="3" t="str">
        <x:v>OpenAI Codex</x:v>
      </x:c>
      <x:c r="C183" s="3" t="str">
        <x:v>C23</x:v>
      </x:c>
      <x:c r="D183" s="9" t="str">
        <x:v>U</x:v>
      </x:c>
      <x:c r="E183" s="9" t="str">
        <x:v>U</x:v>
      </x:c>
      <x:c r="F183" s="9" t="str">
        <x:v>low</x:v>
      </x:c>
      <x:c r="G183" s="3" t="str">
        <x:v>CODEX-S6</x:v>
      </x:c>
      <x:c r="H183" s="3" t="str">
        <x:v>Worked recipe provides no qualified ordinary-task effectiveness measurement or matched comparison.</x:v>
      </x:c>
      <x:c r="I183" s="3" t="str">
        <x:v>https://developers.openai.com/cookbook/examples/codex/build_iterative_repair_loops_with_codex</x:v>
      </x:c>
    </x:row>
    <x:row r="184" ht="49.5" customHeight="1">
      <x:c r="A184" s="3" t="str">
        <x:v>CODEX</x:v>
      </x:c>
      <x:c r="B184" s="3" t="str">
        <x:v>OpenAI Codex</x:v>
      </x:c>
      <x:c r="C184" s="3" t="str">
        <x:v>C24</x:v>
      </x:c>
      <x:c r="D184" s="9" t="str">
        <x:v>U</x:v>
      </x:c>
      <x:c r="E184" s="9" t="str">
        <x:v>U</x:v>
      </x:c>
      <x:c r="F184" s="9" t="str">
        <x:v>low</x:v>
      </x:c>
      <x:c r="G184" s="3" t="str">
        <x:v>CODEX-S2
CODEX-S6</x:v>
      </x:c>
      <x:c r="H184" s="3" t="str">
        <x:v>Trigger guidance and repair examples do not qualify fresh-actor fidelity or faulty oracles.</x:v>
      </x:c>
      <x:c r="I184" s="3" t="str">
        <x:v>https://learn.chatgpt.com/docs/build-skills
https://developers.openai.com/cookbook/examples/codex/build_iterative_repair_loops_with_codex</x:v>
      </x:c>
    </x:row>
    <x:row r="185" ht="49.5" customHeight="1">
      <x:c r="A185" s="3" t="str">
        <x:v>CODEX</x:v>
      </x:c>
      <x:c r="B185" s="3" t="str">
        <x:v>OpenAI Codex</x:v>
      </x:c>
      <x:c r="C185" s="3" t="str">
        <x:v>C25</x:v>
      </x:c>
      <x:c r="D185" s="9" t="n">
        <x:v>2</x:v>
      </x:c>
      <x:c r="E185" s="9" t="str">
        <x:v>R</x:v>
      </x:c>
      <x:c r="F185" s="9" t="str">
        <x:v>high</x:v>
      </x:c>
      <x:c r="G185" s="3" t="str">
        <x:v>CODEX-S1</x:v>
      </x:c>
      <x:c r="H185" s="3" t="str">
        <x:v>Docs treat web results as untrusted and provide OS filesystem/network controls; configured isolation limits exposure without establishing general prompt-injection prevention.</x:v>
      </x:c>
      <x:c r="I185" s="3" t="str">
        <x:v>https://learn.chatgpt.com/docs/agent-approvals-security</x:v>
      </x:c>
    </x:row>
    <x:row r="186" ht="49.5" customHeight="1">
      <x:c r="A186" s="3" t="str">
        <x:v>CODEX</x:v>
      </x:c>
      <x:c r="B186" s="3" t="str">
        <x:v>OpenAI Codex</x:v>
      </x:c>
      <x:c r="C186" s="3" t="str">
        <x:v>C26</x:v>
      </x:c>
      <x:c r="D186" s="9" t="n">
        <x:v>1</x:v>
      </x:c>
      <x:c r="E186" s="9" t="str">
        <x:v>R</x:v>
      </x:c>
      <x:c r="F186" s="9" t="str">
        <x:v>medium</x:v>
      </x:c>
      <x:c r="G186" s="3" t="str">
        <x:v>CODEX-S4</x:v>
      </x:c>
      <x:c r="H186" s="3" t="str">
        <x:v>Persisted token-budget fields and interruption/terminal-stop APIs exist; hard total limits and delegated budget coverage remain unqualified.</x:v>
      </x:c>
      <x:c r="I186" s="3" t="str">
        <x:v>https://learn.chatgpt.com/docs/app-server</x:v>
      </x:c>
    </x:row>
    <x:row r="187" ht="49.5" customHeight="1">
      <x:c r="A187" s="3" t="str">
        <x:v>CLAUDE</x:v>
      </x:c>
      <x:c r="B187" s="3" t="str">
        <x:v>Anthropic Claude Code</x:v>
      </x:c>
      <x:c r="C187" s="3" t="str">
        <x:v>C01</x:v>
      </x:c>
      <x:c r="D187" s="9" t="n">
        <x:v>2</x:v>
      </x:c>
      <x:c r="E187" s="9" t="str">
        <x:v>G</x:v>
      </x:c>
      <x:c r="F187" s="9" t="str">
        <x:v>high</x:v>
      </x:c>
      <x:c r="G187" s="3" t="str">
        <x:v>CLAUDE-S1
CLAUDE-S2</x:v>
      </x:c>
      <x:c r="H187" s="3" t="str">
        <x:v>Coding purpose and checks are explicit; domain outcomes/exclusions remain user supplied.</x:v>
      </x:c>
      <x:c r="I187" s="3" t="str">
        <x:v>https://code.claude.com/docs/en/overview
https://code.claude.com/docs/en/best-practices</x:v>
      </x:c>
    </x:row>
    <x:row r="188" ht="49.5" customHeight="1">
      <x:c r="A188" s="3" t="str">
        <x:v>CLAUDE</x:v>
      </x:c>
      <x:c r="B188" s="3" t="str">
        <x:v>Anthropic Claude Code</x:v>
      </x:c>
      <x:c r="C188" s="3" t="str">
        <x:v>C02</x:v>
      </x:c>
      <x:c r="D188" s="9" t="n">
        <x:v>2</x:v>
      </x:c>
      <x:c r="E188" s="9" t="str">
        <x:v>G</x:v>
      </x:c>
      <x:c r="F188" s="9" t="str">
        <x:v>high</x:v>
      </x:c>
      <x:c r="G188" s="3" t="str">
        <x:v>CLAUDE-S2</x:v>
      </x:c>
      <x:c r="H188" s="3" t="str">
        <x:v>Explore/plan/implement/review are recommended separately; persistent requirements traceability is not a harness law.</x:v>
      </x:c>
      <x:c r="I188" s="3" t="str">
        <x:v>https://code.claude.com/docs/en/best-practices</x:v>
      </x:c>
    </x:row>
    <x:row r="189" ht="49.5" customHeight="1">
      <x:c r="A189" s="3" t="str">
        <x:v>CLAUDE</x:v>
      </x:c>
      <x:c r="B189" s="3" t="str">
        <x:v>Anthropic Claude Code</x:v>
      </x:c>
      <x:c r="C189" s="3" t="str">
        <x:v>C03</x:v>
      </x:c>
      <x:c r="D189" s="9" t="n">
        <x:v>1</x:v>
      </x:c>
      <x:c r="E189" s="9" t="str">
        <x:v>R</x:v>
      </x:c>
      <x:c r="F189" s="9" t="str">
        <x:v>medium</x:v>
      </x:c>
      <x:c r="G189" s="3" t="str">
        <x:v>CLAUDE-S3
CLAUDE-S5</x:v>
      </x:c>
      <x:c r="H189" s="3" t="str">
        <x:v>Agent contexts, working tree and conversation snapshots are distinguishable; contextual subject/representation meaning still needs project conventions.</x:v>
      </x:c>
      <x:c r="I189" s="3" t="str">
        <x:v>https://code.claude.com/docs/en/sub-agents
https://code.claude.com/docs/en/checkpointing</x:v>
      </x:c>
    </x:row>
    <x:row r="190" ht="49.5" customHeight="1">
      <x:c r="A190" s="3" t="str">
        <x:v>CLAUDE</x:v>
      </x:c>
      <x:c r="B190" s="3" t="str">
        <x:v>Anthropic Claude Code</x:v>
      </x:c>
      <x:c r="C190" s="3" t="str">
        <x:v>C04</x:v>
      </x:c>
      <x:c r="D190" s="9" t="str">
        <x:v>U</x:v>
      </x:c>
      <x:c r="E190" s="9" t="str">
        <x:v>U</x:v>
      </x:c>
      <x:c r="F190" s="9" t="str">
        <x:v>low</x:v>
      </x:c>
      <x:c r="G190" s="3" t="str">
        <x:v>CLAUDE-S3</x:v>
      </x:c>
      <x:c r="H190" s="3" t="str">
        <x:v>Permission inheritance and collected findings do not establish conservation of known failure, constraints and missing coverage at joins.</x:v>
      </x:c>
      <x:c r="I190" s="3" t="str">
        <x:v>https://code.claude.com/docs/en/sub-agents</x:v>
      </x:c>
    </x:row>
    <x:row r="191" ht="49.5" customHeight="1">
      <x:c r="A191" s="3" t="str">
        <x:v>CLAUDE</x:v>
      </x:c>
      <x:c r="B191" s="3" t="str">
        <x:v>Anthropic Claude Code</x:v>
      </x:c>
      <x:c r="C191" s="3" t="str">
        <x:v>C05</x:v>
      </x:c>
      <x:c r="D191" s="9" t="n">
        <x:v>1</x:v>
      </x:c>
      <x:c r="E191" s="9" t="str">
        <x:v>R</x:v>
      </x:c>
      <x:c r="F191" s="9" t="str">
        <x:v>high</x:v>
      </x:c>
      <x:c r="G191" s="3" t="str">
        <x:v>CLAUDE-S5</x:v>
      </x:c>
      <x:c r="H191" s="3" t="str">
        <x:v>Selective code/conversation rewind preserves alternatives; changed requirements do not automatically invalidate affected supporting evidence.</x:v>
      </x:c>
      <x:c r="I191" s="3" t="str">
        <x:v>https://code.claude.com/docs/en/checkpointing</x:v>
      </x:c>
    </x:row>
    <x:row r="192" ht="49.5" customHeight="1">
      <x:c r="A192" s="3" t="str">
        <x:v>CLAUDE</x:v>
      </x:c>
      <x:c r="B192" s="3" t="str">
        <x:v>Anthropic Claude Code</x:v>
      </x:c>
      <x:c r="C192" s="3" t="str">
        <x:v>C06</x:v>
      </x:c>
      <x:c r="D192" s="9" t="str">
        <x:v>NA</x:v>
      </x:c>
      <x:c r="E192" s="9" t="str">
        <x:v>G</x:v>
      </x:c>
      <x:c r="F192" s="9" t="str">
        <x:v>high</x:v>
      </x:c>
      <x:c r="G192" s="3" t="str">
        <x:v>CLAUDE-S1</x:v>
      </x:c>
      <x:c r="H192" s="3" t="str">
        <x:v>Constructed-product release qualification and adoption belong to project owners, beyond this coding harness mandate.</x:v>
      </x:c>
      <x:c r="I192" s="3" t="str">
        <x:v>https://code.claude.com/docs/en/overview</x:v>
      </x:c>
    </x:row>
    <x:row r="193" ht="49.5" customHeight="1">
      <x:c r="A193" s="3" t="str">
        <x:v>CLAUDE</x:v>
      </x:c>
      <x:c r="B193" s="3" t="str">
        <x:v>Anthropic Claude Code</x:v>
      </x:c>
      <x:c r="C193" s="3" t="str">
        <x:v>C07</x:v>
      </x:c>
      <x:c r="D193" s="9" t="n">
        <x:v>2</x:v>
      </x:c>
      <x:c r="E193" s="9" t="str">
        <x:v>R</x:v>
      </x:c>
      <x:c r="F193" s="9" t="str">
        <x:v>high</x:v>
      </x:c>
      <x:c r="G193" s="3" t="str">
        <x:v>CLAUDE-S3</x:v>
      </x:c>
      <x:c r="H193" s="3" t="str">
        <x:v>Read-only research agents and isolated context select sources; some omit CLAUDE.md/git status while other agents inherit them.</x:v>
      </x:c>
      <x:c r="I193" s="3" t="str">
        <x:v>https://code.claude.com/docs/en/sub-agents</x:v>
      </x:c>
    </x:row>
    <x:row r="194" ht="49.5" customHeight="1">
      <x:c r="A194" s="3" t="str">
        <x:v>CLAUDE</x:v>
      </x:c>
      <x:c r="B194" s="3" t="str">
        <x:v>Anthropic Claude Code</x:v>
      </x:c>
      <x:c r="C194" s="3" t="str">
        <x:v>C08</x:v>
      </x:c>
      <x:c r="D194" s="9" t="n">
        <x:v>1</x:v>
      </x:c>
      <x:c r="E194" s="9" t="str">
        <x:v>R</x:v>
      </x:c>
      <x:c r="F194" s="9" t="str">
        <x:v>high</x:v>
      </x:c>
      <x:c r="G194" s="3" t="str">
        <x:v>CLAUDE-S3
CLAUDE-S5</x:v>
      </x:c>
      <x:c r="H194" s="3" t="str">
        <x:v>Context warnings, agent limits and summarization handle pressure; required complete-context fit and truthful admission remain unqualified.</x:v>
      </x:c>
      <x:c r="I194" s="3" t="str">
        <x:v>https://code.claude.com/docs/en/sub-agents
https://code.claude.com/docs/en/checkpointing</x:v>
      </x:c>
    </x:row>
    <x:row r="195" ht="49.5" customHeight="1">
      <x:c r="A195" s="3" t="str">
        <x:v>CLAUDE</x:v>
      </x:c>
      <x:c r="B195" s="3" t="str">
        <x:v>Anthropic Claude Code</x:v>
      </x:c>
      <x:c r="C195" s="3" t="str">
        <x:v>C09</x:v>
      </x:c>
      <x:c r="D195" s="9" t="n">
        <x:v>2</x:v>
      </x:c>
      <x:c r="E195" s="9" t="str">
        <x:v>R</x:v>
      </x:c>
      <x:c r="F195" s="9" t="str">
        <x:v>high</x:v>
      </x:c>
      <x:c r="G195" s="3" t="str">
        <x:v>CLAUDE-S3</x:v>
      </x:c>
      <x:c r="H195" s="3" t="str">
        <x:v>Scoped subagents return summaries to the parent; native limits and resumption boundaries support bounded delegation.</x:v>
      </x:c>
      <x:c r="I195" s="3" t="str">
        <x:v>https://code.claude.com/docs/en/sub-agents</x:v>
      </x:c>
    </x:row>
    <x:row r="196" ht="49.5" customHeight="1">
      <x:c r="A196" s="3" t="str">
        <x:v>CLAUDE</x:v>
      </x:c>
      <x:c r="B196" s="3" t="str">
        <x:v>Anthropic Claude Code</x:v>
      </x:c>
      <x:c r="C196" s="3" t="str">
        <x:v>C10</x:v>
      </x:c>
      <x:c r="D196" s="9" t="n">
        <x:v>2</x:v>
      </x:c>
      <x:c r="E196" s="9" t="str">
        <x:v>R</x:v>
      </x:c>
      <x:c r="F196" s="9" t="str">
        <x:v>high</x:v>
      </x:c>
      <x:c r="G196" s="3" t="str">
        <x:v>CLAUDE-S5</x:v>
      </x:c>
      <x:c r="H196" s="3" t="str">
        <x:v>Conversation and direct-edit checkpoints persist across resume; snapshot retention and omitted edits limit restoration and validity.</x:v>
      </x:c>
      <x:c r="I196" s="3" t="str">
        <x:v>https://code.claude.com/docs/en/checkpointing</x:v>
      </x:c>
    </x:row>
    <x:row r="197" ht="49.5" customHeight="1">
      <x:c r="A197" s="3" t="str">
        <x:v>CLAUDE</x:v>
      </x:c>
      <x:c r="B197" s="3" t="str">
        <x:v>Anthropic Claude Code</x:v>
      </x:c>
      <x:c r="C197" s="3" t="str">
        <x:v>C11</x:v>
      </x:c>
      <x:c r="D197" s="9" t="n">
        <x:v>2</x:v>
      </x:c>
      <x:c r="E197" s="9" t="str">
        <x:v>R</x:v>
      </x:c>
      <x:c r="F197" s="9" t="str">
        <x:v>high</x:v>
      </x:c>
      <x:c r="G197" s="3" t="str">
        <x:v>CLAUDE-S4</x:v>
      </x:c>
      <x:c r="H197" s="3" t="str">
        <x:v>Runtime denial modes and feedback govern permitted next action; semantic unknown and invalid evidence require task-specific judgment.</x:v>
      </x:c>
      <x:c r="I197" s="3" t="str">
        <x:v>https://code.claude.com/docs/en/permissions</x:v>
      </x:c>
    </x:row>
    <x:row r="198" ht="49.5" customHeight="1">
      <x:c r="A198" s="3" t="str">
        <x:v>CLAUDE</x:v>
      </x:c>
      <x:c r="B198" s="3" t="str">
        <x:v>Anthropic Claude Code</x:v>
      </x:c>
      <x:c r="C198" s="3" t="str">
        <x:v>C12</x:v>
      </x:c>
      <x:c r="D198" s="9" t="n">
        <x:v>1</x:v>
      </x:c>
      <x:c r="E198" s="9" t="str">
        <x:v>R</x:v>
      </x:c>
      <x:c r="F198" s="9" t="str">
        <x:v>high</x:v>
      </x:c>
      <x:c r="G198" s="3" t="str">
        <x:v>CLAUDE-S5</x:v>
      </x:c>
      <x:c r="H198" s="3" t="str">
        <x:v>Rewind excludes shell/external and most subagent changes; rollback does not reconcile uncertain external effects or prevent duplicate actions.</x:v>
      </x:c>
      <x:c r="I198" s="3" t="str">
        <x:v>https://code.claude.com/docs/en/checkpointing</x:v>
      </x:c>
    </x:row>
    <x:row r="199" ht="49.5" customHeight="1">
      <x:c r="A199" s="3" t="str">
        <x:v>CLAUDE</x:v>
      </x:c>
      <x:c r="B199" s="3" t="str">
        <x:v>Anthropic Claude Code</x:v>
      </x:c>
      <x:c r="C199" s="3" t="str">
        <x:v>C13</x:v>
      </x:c>
      <x:c r="D199" s="9" t="n">
        <x:v>3</x:v>
      </x:c>
      <x:c r="E199" s="9" t="str">
        <x:v>R</x:v>
      </x:c>
      <x:c r="F199" s="9" t="str">
        <x:v>high</x:v>
      </x:c>
      <x:c r="G199" s="3" t="str">
        <x:v>CLAUDE-S4</x:v>
      </x:c>
      <x:c r="H199" s="3" t="str">
        <x:v>Enforced deny/ask/allow rules and permission modes act before tools; prompt instructions alone do not grant or revoke access.</x:v>
      </x:c>
      <x:c r="I199" s="3" t="str">
        <x:v>https://code.claude.com/docs/en/permissions</x:v>
      </x:c>
    </x:row>
    <x:row r="200" ht="49.5" customHeight="1">
      <x:c r="A200" s="3" t="str">
        <x:v>CLAUDE</x:v>
      </x:c>
      <x:c r="B200" s="3" t="str">
        <x:v>Anthropic Claude Code</x:v>
      </x:c>
      <x:c r="C200" s="3" t="str">
        <x:v>C14</x:v>
      </x:c>
      <x:c r="D200" s="9" t="n">
        <x:v>2</x:v>
      </x:c>
      <x:c r="E200" s="9" t="str">
        <x:v>G</x:v>
      </x:c>
      <x:c r="F200" s="9" t="str">
        <x:v>high</x:v>
      </x:c>
      <x:c r="G200" s="3" t="str">
        <x:v>CLAUDE-S2</x:v>
      </x:c>
      <x:c r="H200" s="3" t="str">
        <x:v>Fresh-context review checks diff/criteria apart from implementation reasoning; reference/oracle independence remains unqualified.</x:v>
      </x:c>
      <x:c r="I200" s="3" t="str">
        <x:v>https://code.claude.com/docs/en/best-practices</x:v>
      </x:c>
    </x:row>
    <x:row r="201" ht="49.5" customHeight="1">
      <x:c r="A201" s="3" t="str">
        <x:v>CLAUDE</x:v>
      </x:c>
      <x:c r="B201" s="3" t="str">
        <x:v>Anthropic Claude Code</x:v>
      </x:c>
      <x:c r="C201" s="3" t="str">
        <x:v>C15</x:v>
      </x:c>
      <x:c r="D201" s="9" t="n">
        <x:v>1</x:v>
      </x:c>
      <x:c r="E201" s="9" t="str">
        <x:v>G</x:v>
      </x:c>
      <x:c r="F201" s="9" t="str">
        <x:v>high</x:v>
      </x:c>
      <x:c r="G201" s="3" t="str">
        <x:v>CLAUDE-S2</x:v>
      </x:c>
      <x:c r="H201" s="3" t="str">
        <x:v>Examples and fixtures supply expected behavior; faulty checkers are not independently qualified.</x:v>
      </x:c>
      <x:c r="I201" s="3" t="str">
        <x:v>https://code.claude.com/docs/en/best-practices</x:v>
      </x:c>
    </x:row>
    <x:row r="202" ht="49.5" customHeight="1">
      <x:c r="A202" s="3" t="str">
        <x:v>CLAUDE</x:v>
      </x:c>
      <x:c r="B202" s="3" t="str">
        <x:v>Anthropic Claude Code</x:v>
      </x:c>
      <x:c r="C202" s="3" t="str">
        <x:v>C16</x:v>
      </x:c>
      <x:c r="D202" s="9" t="n">
        <x:v>1</x:v>
      </x:c>
      <x:c r="E202" s="9" t="str">
        <x:v>G</x:v>
      </x:c>
      <x:c r="F202" s="9" t="str">
        <x:v>medium</x:v>
      </x:c>
      <x:c r="G202" s="3" t="str">
        <x:v>CLAUDE-S2
CLAUDE-S4</x:v>
      </x:c>
      <x:c r="H202" s="3" t="str">
        <x:v>Verification evidence and permission differ; claim judgment/owner acceptance lack a universal contract.</x:v>
      </x:c>
      <x:c r="I202" s="3" t="str">
        <x:v>https://code.claude.com/docs/en/best-practices
https://code.claude.com/docs/en/permissions</x:v>
      </x:c>
    </x:row>
    <x:row r="203" ht="49.5" customHeight="1">
      <x:c r="A203" s="3" t="str">
        <x:v>CLAUDE</x:v>
      </x:c>
      <x:c r="B203" s="3" t="str">
        <x:v>Anthropic Claude Code</x:v>
      </x:c>
      <x:c r="C203" s="3" t="str">
        <x:v>C17</x:v>
      </x:c>
      <x:c r="D203" s="9" t="n">
        <x:v>1</x:v>
      </x:c>
      <x:c r="E203" s="9" t="str">
        <x:v>R</x:v>
      </x:c>
      <x:c r="F203" s="9" t="str">
        <x:v>medium</x:v>
      </x:c>
      <x:c r="G203" s="3" t="str">
        <x:v>CLAUDE-S5
CLAUDE-S6</x:v>
      </x:c>
      <x:c r="H203" s="3" t="str">
        <x:v>Checkpoint/session records and nested traces identify work; exact governing-basis binding and verdict scope remain project supplied.</x:v>
      </x:c>
      <x:c r="I203" s="3" t="str">
        <x:v>https://code.claude.com/docs/en/checkpointing
https://code.claude.com/docs/en/monitoring-usage</x:v>
      </x:c>
    </x:row>
    <x:row r="204" ht="49.5" customHeight="1">
      <x:c r="A204" s="3" t="str">
        <x:v>CLAUDE</x:v>
      </x:c>
      <x:c r="B204" s="3" t="str">
        <x:v>Anthropic Claude Code</x:v>
      </x:c>
      <x:c r="C204" s="3" t="str">
        <x:v>C18</x:v>
      </x:c>
      <x:c r="D204" s="9" t="n">
        <x:v>2</x:v>
      </x:c>
      <x:c r="E204" s="9" t="str">
        <x:v>G</x:v>
      </x:c>
      <x:c r="F204" s="9" t="str">
        <x:v>high</x:v>
      </x:c>
      <x:c r="G204" s="3" t="str">
        <x:v>CLAUDE-S2</x:v>
      </x:c>
      <x:c r="H204" s="3" t="str">
        <x:v>Invalid-input examples and repeated checks cover scoped regressions; changed-basis/refusal coverage is not comprehensive.</x:v>
      </x:c>
      <x:c r="I204" s="3" t="str">
        <x:v>https://code.claude.com/docs/en/best-practices</x:v>
      </x:c>
    </x:row>
    <x:row r="205" ht="49.5" customHeight="1">
      <x:c r="A205" s="3" t="str">
        <x:v>CLAUDE</x:v>
      </x:c>
      <x:c r="B205" s="3" t="str">
        <x:v>Anthropic Claude Code</x:v>
      </x:c>
      <x:c r="C205" s="3" t="str">
        <x:v>C19</x:v>
      </x:c>
      <x:c r="D205" s="9" t="n">
        <x:v>3</x:v>
      </x:c>
      <x:c r="E205" s="9" t="str">
        <x:v>G</x:v>
      </x:c>
      <x:c r="F205" s="9" t="str">
        <x:v>high</x:v>
      </x:c>
      <x:c r="G205" s="3" t="str">
        <x:v>CLAUDE-S1</x:v>
      </x:c>
      <x:c r="H205" s="3" t="str">
        <x:v>Multi-surface entry, installation troubleshooting and normal project startup are documented without private author knowledge.</x:v>
      </x:c>
      <x:c r="I205" s="3" t="str">
        <x:v>https://code.claude.com/docs/en/overview</x:v>
      </x:c>
    </x:row>
    <x:row r="206" ht="49.5" customHeight="1">
      <x:c r="A206" s="3" t="str">
        <x:v>CLAUDE</x:v>
      </x:c>
      <x:c r="B206" s="3" t="str">
        <x:v>Anthropic Claude Code</x:v>
      </x:c>
      <x:c r="C206" s="3" t="str">
        <x:v>C20</x:v>
      </x:c>
      <x:c r="D206" s="9" t="n">
        <x:v>3</x:v>
      </x:c>
      <x:c r="E206" s="9" t="str">
        <x:v>R</x:v>
      </x:c>
      <x:c r="F206" s="9" t="str">
        <x:v>high</x:v>
      </x:c>
      <x:c r="G206" s="3" t="str">
        <x:v>CLAUDE-S1
CLAUDE-S3</x:v>
      </x:c>
      <x:c r="H206" s="3" t="str">
        <x:v>Native source-file memory, skills and reusable subagent definitions support cross-task context with documented inheritance boundaries.</x:v>
      </x:c>
      <x:c r="I206" s="3" t="str">
        <x:v>https://code.claude.com/docs/en/overview
https://code.claude.com/docs/en/sub-agents</x:v>
      </x:c>
    </x:row>
    <x:row r="207" ht="49.5" customHeight="1">
      <x:c r="A207" s="3" t="str">
        <x:v>CLAUDE</x:v>
      </x:c>
      <x:c r="B207" s="3" t="str">
        <x:v>Anthropic Claude Code</x:v>
      </x:c>
      <x:c r="C207" s="3" t="str">
        <x:v>C21</x:v>
      </x:c>
      <x:c r="D207" s="9" t="n">
        <x:v>2</x:v>
      </x:c>
      <x:c r="E207" s="9" t="str">
        <x:v>R</x:v>
      </x:c>
      <x:c r="F207" s="9" t="str">
        <x:v>high</x:v>
      </x:c>
      <x:c r="G207" s="3" t="str">
        <x:v>CLAUDE-S2
CLAUDE-S6</x:v>
      </x:c>
      <x:c r="H207" s="3" t="str">
        <x:v>Verification gates, independent review and monitoring aid repair; comparative method evaluation remains additional work.</x:v>
      </x:c>
      <x:c r="I207" s="3" t="str">
        <x:v>https://code.claude.com/docs/en/best-practices
https://code.claude.com/docs/en/monitoring-usage</x:v>
      </x:c>
    </x:row>
    <x:row r="208" ht="49.5" customHeight="1">
      <x:c r="A208" s="3" t="str">
        <x:v>CLAUDE</x:v>
      </x:c>
      <x:c r="B208" s="3" t="str">
        <x:v>Anthropic Claude Code</x:v>
      </x:c>
      <x:c r="C208" s="3" t="str">
        <x:v>C22</x:v>
      </x:c>
      <x:c r="D208" s="9" t="n">
        <x:v>2</x:v>
      </x:c>
      <x:c r="E208" s="9" t="str">
        <x:v>R</x:v>
      </x:c>
      <x:c r="F208" s="9" t="str">
        <x:v>high</x:v>
      </x:c>
      <x:c r="G208" s="3" t="str">
        <x:v>CLAUDE-S6</x:v>
      </x:c>
      <x:c r="H208" s="3" t="str">
        <x:v>Per-request token/cost metrics, active time and nested subagent spans exist; complete context/critical-path versus aggregate semantics remain partial.</x:v>
      </x:c>
      <x:c r="I208" s="3" t="str">
        <x:v>https://code.claude.com/docs/en/monitoring-usage</x:v>
      </x:c>
    </x:row>
    <x:row r="209" ht="49.5" customHeight="1">
      <x:c r="A209" s="3" t="str">
        <x:v>CLAUDE</x:v>
      </x:c>
      <x:c r="B209" s="3" t="str">
        <x:v>Anthropic Claude Code</x:v>
      </x:c>
      <x:c r="C209" s="3" t="str">
        <x:v>C23</x:v>
      </x:c>
      <x:c r="D209" s="9" t="str">
        <x:v>U</x:v>
      </x:c>
      <x:c r="E209" s="9" t="str">
        <x:v>U</x:v>
      </x:c>
      <x:c r="F209" s="9" t="str">
        <x:v>low</x:v>
      </x:c>
      <x:c r="G209" s="3" t="str">
        <x:v>CLAUDE-S1
CLAUDE-S2</x:v>
      </x:c>
      <x:c r="H209" s="3" t="str">
        <x:v>Internal-use claims provide no qualified measured framework effectiveness here.</x:v>
      </x:c>
      <x:c r="I209" s="3" t="str">
        <x:v>https://code.claude.com/docs/en/overview
https://code.claude.com/docs/en/best-practices</x:v>
      </x:c>
    </x:row>
    <x:row r="210" ht="49.5" customHeight="1">
      <x:c r="A210" s="3" t="str">
        <x:v>CLAUDE</x:v>
      </x:c>
      <x:c r="B210" s="3" t="str">
        <x:v>Anthropic Claude Code</x:v>
      </x:c>
      <x:c r="C210" s="3" t="str">
        <x:v>C24</x:v>
      </x:c>
      <x:c r="D210" s="9" t="str">
        <x:v>U</x:v>
      </x:c>
      <x:c r="E210" s="9" t="str">
        <x:v>U</x:v>
      </x:c>
      <x:c r="F210" s="9" t="str">
        <x:v>low</x:v>
      </x:c>
      <x:c r="G210" s="3" t="str">
        <x:v>CLAUDE-S2</x:v>
      </x:c>
      <x:c r="H210" s="3" t="str">
        <x:v>Fresh-context review does not establish fresh-actor method-fidelity trials with faulty guidance/oracles.</x:v>
      </x:c>
      <x:c r="I210" s="3" t="str">
        <x:v>https://code.claude.com/docs/en/best-practices</x:v>
      </x:c>
    </x:row>
    <x:row r="211" ht="49.5" customHeight="1">
      <x:c r="A211" s="3" t="str">
        <x:v>CLAUDE</x:v>
      </x:c>
      <x:c r="B211" s="3" t="str">
        <x:v>Anthropic Claude Code</x:v>
      </x:c>
      <x:c r="C211" s="3" t="str">
        <x:v>C25</x:v>
      </x:c>
      <x:c r="D211" s="9" t="n">
        <x:v>2</x:v>
      </x:c>
      <x:c r="E211" s="9" t="str">
        <x:v>R</x:v>
      </x:c>
      <x:c r="F211" s="9" t="str">
        <x:v>high</x:v>
      </x:c>
      <x:c r="G211" s="3" t="str">
        <x:v>CLAUDE-S4
CLAUDE-S7</x:v>
      </x:c>
      <x:c r="H211" s="3" t="str">
        <x:v>Untrusted-content guidance, network/filesystem sandboxing and credential storage provide scoped boundaries; approvals and page summarization do not establish generic injection prevention.</x:v>
      </x:c>
      <x:c r="I211" s="3" t="str">
        <x:v>https://code.claude.com/docs/en/permissions
https://code.claude.com/docs/en/security</x:v>
      </x:c>
    </x:row>
    <x:row r="212" ht="49.5" customHeight="1">
      <x:c r="A212" s="3" t="str">
        <x:v>CLAUDE</x:v>
      </x:c>
      <x:c r="B212" s="3" t="str">
        <x:v>Anthropic Claude Code</x:v>
      </x:c>
      <x:c r="C212" s="3" t="str">
        <x:v>C26</x:v>
      </x:c>
      <x:c r="D212" s="9" t="n">
        <x:v>2</x:v>
      </x:c>
      <x:c r="E212" s="9" t="str">
        <x:v>R</x:v>
      </x:c>
      <x:c r="F212" s="9" t="str">
        <x:v>high</x:v>
      </x:c>
      <x:c r="G212" s="3" t="str">
        <x:v>CLAUDE-S3</x:v>
      </x:c>
      <x:c r="H212" s="3" t="str">
        <x:v>Turn/depth/spawn-concurrency limits are documented; resumed agents, forks and Ultra can exceed concurrency checks, while other agent types follow separate limits.</x:v>
      </x:c>
      <x:c r="I212" s="3" t="str">
        <x:v>https://code.claude.com/docs/en/sub-agents</x:v>
      </x:c>
    </x:row>
    <x:row r="213" ht="49.5" customHeight="1">
      <x:c r="A213" s="3" t="str">
        <x:v>GEMINI</x:v>
      </x:c>
      <x:c r="B213" s="3" t="str">
        <x:v>Google Gemini CLI</x:v>
      </x:c>
      <x:c r="C213" s="3" t="str">
        <x:v>C01</x:v>
      </x:c>
      <x:c r="D213" s="9" t="n">
        <x:v>2</x:v>
      </x:c>
      <x:c r="E213" s="9" t="str">
        <x:v>G</x:v>
      </x:c>
      <x:c r="F213" s="9" t="str">
        <x:v>high</x:v>
      </x:c>
      <x:c r="G213" s="3" t="str">
        <x:v>GEMINI-S1</x:v>
      </x:c>
      <x:c r="H213" s="3" t="str">
        <x:v>Planning elicits goal and reviewed strategy; domain success/exclusions remain user supplied.</x:v>
      </x:c>
      <x:c r="I213" s="3" t="str">
        <x:v>https://geminicli.com/docs/cli/plan-mode/</x:v>
      </x:c>
    </x:row>
    <x:row r="214" ht="49.5" customHeight="1">
      <x:c r="A214" s="3" t="str">
        <x:v>GEMINI</x:v>
      </x:c>
      <x:c r="B214" s="3" t="str">
        <x:v>Google Gemini CLI</x:v>
      </x:c>
      <x:c r="C214" s="3" t="str">
        <x:v>C02</x:v>
      </x:c>
      <x:c r="D214" s="9" t="n">
        <x:v>2</x:v>
      </x:c>
      <x:c r="E214" s="9" t="str">
        <x:v>R</x:v>
      </x:c>
      <x:c r="F214" s="9" t="str">
        <x:v>high</x:v>
      </x:c>
      <x:c r="G214" s="3" t="str">
        <x:v>GEMINI-S1</x:v>
      </x:c>
      <x:c r="H214" s="3" t="str">
        <x:v>Read-only planning yields editable Markdown before execution; complete specification/realization traceability remains unestablished.</x:v>
      </x:c>
      <x:c r="I214" s="3" t="str">
        <x:v>https://geminicli.com/docs/cli/plan-mode/</x:v>
      </x:c>
    </x:row>
    <x:row r="215" ht="49.5" customHeight="1">
      <x:c r="A215" s="3" t="str">
        <x:v>GEMINI</x:v>
      </x:c>
      <x:c r="B215" s="3" t="str">
        <x:v>Google Gemini CLI</x:v>
      </x:c>
      <x:c r="C215" s="3" t="str">
        <x:v>C03</x:v>
      </x:c>
      <x:c r="D215" s="9" t="n">
        <x:v>1</x:v>
      </x:c>
      <x:c r="E215" s="9" t="str">
        <x:v>R</x:v>
      </x:c>
      <x:c r="F215" s="9" t="str">
        <x:v>medium</x:v>
      </x:c>
      <x:c r="G215" s="3" t="str">
        <x:v>GEMINI-S1
GEMINI-S4</x:v>
      </x:c>
      <x:c r="H215" s="3" t="str">
        <x:v>Plan, project, conversation and tool snapshots differ; semantic subject identity needs conventions.</x:v>
      </x:c>
      <x:c r="I215" s="3" t="str">
        <x:v>https://geminicli.com/docs/cli/plan-mode/
https://geminicli.com/docs/cli/checkpointing/</x:v>
      </x:c>
    </x:row>
    <x:row r="216" ht="49.5" customHeight="1">
      <x:c r="A216" s="3" t="str">
        <x:v>GEMINI</x:v>
      </x:c>
      <x:c r="B216" s="3" t="str">
        <x:v>Google Gemini CLI</x:v>
      </x:c>
      <x:c r="C216" s="3" t="str">
        <x:v>C04</x:v>
      </x:c>
      <x:c r="D216" s="9" t="str">
        <x:v>U</x:v>
      </x:c>
      <x:c r="E216" s="9" t="str">
        <x:v>U</x:v>
      </x:c>
      <x:c r="F216" s="9" t="str">
        <x:v>low</x:v>
      </x:c>
      <x:c r="G216" s="3" t="str">
        <x:v>GEMINI-S2
GEMINI-S3</x:v>
      </x:c>
      <x:c r="H216" s="3" t="str">
        <x:v>Policy-controlled delegation does not establish conservation of failure, constraints or missing required coverage at joins.</x:v>
      </x:c>
      <x:c r="I216" s="3" t="str">
        <x:v>https://geminicli.com/docs/core/subagents/
https://geminicli.com/docs/reference/policy-engine/</x:v>
      </x:c>
    </x:row>
    <x:row r="217" ht="49.5" customHeight="1">
      <x:c r="A217" s="3" t="str">
        <x:v>GEMINI</x:v>
      </x:c>
      <x:c r="B217" s="3" t="str">
        <x:v>Google Gemini CLI</x:v>
      </x:c>
      <x:c r="C217" s="3" t="str">
        <x:v>C05</x:v>
      </x:c>
      <x:c r="D217" s="9" t="n">
        <x:v>1</x:v>
      </x:c>
      <x:c r="E217" s="9" t="str">
        <x:v>R</x:v>
      </x:c>
      <x:c r="F217" s="9" t="str">
        <x:v>high</x:v>
      </x:c>
      <x:c r="G217" s="3" t="str">
        <x:v>GEMINI-S1
GEMINI-S4</x:v>
      </x:c>
      <x:c r="H217" s="3" t="str">
        <x:v>Plans iterate and checkpoints restore; selective changed-basis support invalidation is unspecified.</x:v>
      </x:c>
      <x:c r="I217" s="3" t="str">
        <x:v>https://geminicli.com/docs/cli/plan-mode/
https://geminicli.com/docs/cli/checkpointing/</x:v>
      </x:c>
    </x:row>
    <x:row r="218" ht="49.5" customHeight="1">
      <x:c r="A218" s="3" t="str">
        <x:v>GEMINI</x:v>
      </x:c>
      <x:c r="B218" s="3" t="str">
        <x:v>Google Gemini CLI</x:v>
      </x:c>
      <x:c r="C218" s="3" t="str">
        <x:v>C06</x:v>
      </x:c>
      <x:c r="D218" s="9" t="str">
        <x:v>NA</x:v>
      </x:c>
      <x:c r="E218" s="9" t="str">
        <x:v>G</x:v>
      </x:c>
      <x:c r="F218" s="9" t="str">
        <x:v>high</x:v>
      </x:c>
      <x:c r="G218" s="3" t="str">
        <x:v>GEMINI-S1</x:v>
      </x:c>
      <x:c r="H218" s="3" t="str">
        <x:v>Constructed-product qualification and adoption belong to project owners, beyond CLI planning/coding execution.</x:v>
      </x:c>
      <x:c r="I218" s="3" t="str">
        <x:v>https://geminicli.com/docs/cli/plan-mode/</x:v>
      </x:c>
    </x:row>
    <x:row r="219" ht="49.5" customHeight="1">
      <x:c r="A219" s="3" t="str">
        <x:v>GEMINI</x:v>
      </x:c>
      <x:c r="B219" s="3" t="str">
        <x:v>Google Gemini CLI</x:v>
      </x:c>
      <x:c r="C219" s="3" t="str">
        <x:v>C07</x:v>
      </x:c>
      <x:c r="D219" s="9" t="n">
        <x:v>2</x:v>
      </x:c>
      <x:c r="E219" s="9" t="str">
        <x:v>R</x:v>
      </x:c>
      <x:c r="F219" s="9" t="str">
        <x:v>high</x:v>
      </x:c>
      <x:c r="G219" s="3" t="str">
        <x:v>GEMINI-S2
GEMINI-S6</x:v>
      </x:c>
      <x:c r="H219" s="3" t="str">
        <x:v>Specialist context loops, restricted tools and source-based skills select context; required-source completeness is not admitted.</x:v>
      </x:c>
      <x:c r="I219" s="3" t="str">
        <x:v>https://geminicli.com/docs/core/subagents/
https://geminicli.com/docs/cli/using-agent-skills/</x:v>
      </x:c>
    </x:row>
    <x:row r="220" ht="49.5" customHeight="1">
      <x:c r="A220" s="3" t="str">
        <x:v>GEMINI</x:v>
      </x:c>
      <x:c r="B220" s="3" t="str">
        <x:v>Google Gemini CLI</x:v>
      </x:c>
      <x:c r="C220" s="3" t="str">
        <x:v>C08</x:v>
      </x:c>
      <x:c r="D220" s="9" t="n">
        <x:v>1</x:v>
      </x:c>
      <x:c r="E220" s="9" t="str">
        <x:v>R</x:v>
      </x:c>
      <x:c r="F220" s="9" t="str">
        <x:v>high</x:v>
      </x:c>
      <x:c r="G220" s="3" t="str">
        <x:v>GEMINI-S2
GEMINI-S5</x:v>
      </x:c>
      <x:c r="H220" s="3" t="str">
        <x:v>Subagent turn/time limits and compression metrics manage pressure; complete required-context fit and truthful admission remain unqualified.</x:v>
      </x:c>
      <x:c r="I220" s="3" t="str">
        <x:v>https://geminicli.com/docs/core/subagents/
https://geminicli.com/docs/cli/telemetry/</x:v>
      </x:c>
    </x:row>
    <x:row r="221" ht="49.5" customHeight="1">
      <x:c r="A221" s="3" t="str">
        <x:v>GEMINI</x:v>
      </x:c>
      <x:c r="B221" s="3" t="str">
        <x:v>Google Gemini CLI</x:v>
      </x:c>
      <x:c r="C221" s="3" t="str">
        <x:v>C09</x:v>
      </x:c>
      <x:c r="D221" s="9" t="n">
        <x:v>2</x:v>
      </x:c>
      <x:c r="E221" s="9" t="str">
        <x:v>R</x:v>
      </x:c>
      <x:c r="F221" s="9" t="str">
        <x:v>high</x:v>
      </x:c>
      <x:c r="G221" s="3" t="str">
        <x:v>GEMINI-S2</x:v>
      </x:c>
      <x:c r="H221" s="3" t="str">
        <x:v>Specialists return findings to the main agent with turn/time bounds and recursion protection; task sufficiency remains caller judged.</x:v>
      </x:c>
      <x:c r="I221" s="3" t="str">
        <x:v>https://geminicli.com/docs/core/subagents/</x:v>
      </x:c>
    </x:row>
    <x:row r="222" ht="49.5" customHeight="1">
      <x:c r="A222" s="3" t="str">
        <x:v>GEMINI</x:v>
      </x:c>
      <x:c r="B222" s="3" t="str">
        <x:v>Google Gemini CLI</x:v>
      </x:c>
      <x:c r="C222" s="3" t="str">
        <x:v>C10</x:v>
      </x:c>
      <x:c r="D222" s="9" t="n">
        <x:v>2</x:v>
      </x:c>
      <x:c r="E222" s="9" t="str">
        <x:v>R</x:v>
      </x:c>
      <x:c r="F222" s="9" t="str">
        <x:v>high</x:v>
      </x:c>
      <x:c r="G222" s="3" t="str">
        <x:v>GEMINI-S4</x:v>
      </x:c>
      <x:c r="H222" s="3" t="str">
        <x:v>Opt-in project/conversation/tool snapshots durably restore a bounded cut; changed-actor validity checks are not established.</x:v>
      </x:c>
      <x:c r="I222" s="3" t="str">
        <x:v>https://geminicli.com/docs/cli/checkpointing/</x:v>
      </x:c>
    </x:row>
    <x:row r="223" ht="49.5" customHeight="1">
      <x:c r="A223" s="3" t="str">
        <x:v>GEMINI</x:v>
      </x:c>
      <x:c r="B223" s="3" t="str">
        <x:v>Google Gemini CLI</x:v>
      </x:c>
      <x:c r="C223" s="3" t="str">
        <x:v>C11</x:v>
      </x:c>
      <x:c r="D223" s="9" t="n">
        <x:v>2</x:v>
      </x:c>
      <x:c r="E223" s="9" t="str">
        <x:v>R</x:v>
      </x:c>
      <x:c r="F223" s="9" t="str">
        <x:v>high</x:v>
      </x:c>
      <x:c r="G223" s="3" t="str">
        <x:v>GEMINI-S3
GEMINI-S5</x:v>
      </x:c>
      <x:c r="H223" s="3" t="str">
        <x:v>Allow/deny/ask outcomes and retry-failure telemetry distinguish action refusal and runtime failure; semantic unknown needs task-specific handling.</x:v>
      </x:c>
      <x:c r="I223" s="3" t="str">
        <x:v>https://geminicli.com/docs/reference/policy-engine/
https://geminicli.com/docs/cli/telemetry/</x:v>
      </x:c>
    </x:row>
    <x:row r="224" ht="49.5" customHeight="1">
      <x:c r="A224" s="3" t="str">
        <x:v>GEMINI</x:v>
      </x:c>
      <x:c r="B224" s="3" t="str">
        <x:v>Google Gemini CLI</x:v>
      </x:c>
      <x:c r="C224" s="3" t="str">
        <x:v>C12</x:v>
      </x:c>
      <x:c r="D224" s="9" t="n">
        <x:v>1</x:v>
      </x:c>
      <x:c r="E224" s="9" t="str">
        <x:v>R</x:v>
      </x:c>
      <x:c r="F224" s="9" t="str">
        <x:v>high</x:v>
      </x:c>
      <x:c r="G224" s="3" t="str">
        <x:v>GEMINI-S4</x:v>
      </x:c>
      <x:c r="H224" s="3" t="str">
        <x:v>Restore re-proposes the original call after local rollback; no general unresolved-effect reconciliation or duplicate-execution prevention is documented.</x:v>
      </x:c>
      <x:c r="I224" s="3" t="str">
        <x:v>https://geminicli.com/docs/cli/checkpointing/</x:v>
      </x:c>
    </x:row>
    <x:row r="225" ht="49.5" customHeight="1">
      <x:c r="A225" s="3" t="str">
        <x:v>GEMINI</x:v>
      </x:c>
      <x:c r="B225" s="3" t="str">
        <x:v>Google Gemini CLI</x:v>
      </x:c>
      <x:c r="C225" s="3" t="str">
        <x:v>C13</x:v>
      </x:c>
      <x:c r="D225" s="9" t="n">
        <x:v>3</x:v>
      </x:c>
      <x:c r="E225" s="9" t="str">
        <x:v>R</x:v>
      </x:c>
      <x:c r="F225" s="9" t="str">
        <x:v>high</x:v>
      </x:c>
      <x:c r="G225" s="3" t="str">
        <x:v>GEMINI-S3</x:v>
      </x:c>
      <x:c r="H225" s="3" t="str">
        <x:v>Pre-tool policy allows, denies or asks with explicit selectors; functioning user/admin tiers qualify, while workspace tier is disabled.</x:v>
      </x:c>
      <x:c r="I225" s="3" t="str">
        <x:v>https://geminicli.com/docs/reference/policy-engine/</x:v>
      </x:c>
    </x:row>
    <x:row r="226" ht="49.5" customHeight="1">
      <x:c r="A226" s="3" t="str">
        <x:v>GEMINI</x:v>
      </x:c>
      <x:c r="B226" s="3" t="str">
        <x:v>Google Gemini CLI</x:v>
      </x:c>
      <x:c r="C226" s="3" t="str">
        <x:v>C14</x:v>
      </x:c>
      <x:c r="D226" s="9" t="n">
        <x:v>1</x:v>
      </x:c>
      <x:c r="E226" s="9" t="str">
        <x:v>R</x:v>
      </x:c>
      <x:c r="F226" s="9" t="str">
        <x:v>medium</x:v>
      </x:c>
      <x:c r="G226" s="3" t="str">
        <x:v>GEMINI-S2</x:v>
      </x:c>
      <x:c r="H226" s="3" t="str">
        <x:v>Separate-context specialist analysis is possible; role isolation does not establish claim-relative independent references and assessment.</x:v>
      </x:c>
      <x:c r="I226" s="3" t="str">
        <x:v>https://geminicli.com/docs/core/subagents/</x:v>
      </x:c>
    </x:row>
    <x:row r="227" ht="49.5" customHeight="1">
      <x:c r="A227" s="3" t="str">
        <x:v>GEMINI</x:v>
      </x:c>
      <x:c r="B227" s="3" t="str">
        <x:v>Google Gemini CLI</x:v>
      </x:c>
      <x:c r="C227" s="3" t="str">
        <x:v>C15</x:v>
      </x:c>
      <x:c r="D227" s="9" t="str">
        <x:v>U</x:v>
      </x:c>
      <x:c r="E227" s="9" t="str">
        <x:v>U</x:v>
      </x:c>
      <x:c r="F227" s="9" t="str">
        <x:v>low</x:v>
      </x:c>
      <x:c r="G227" s="3" t="str">
        <x:v>GEMINI-S1
GEMINI-S5</x:v>
      </x:c>
      <x:c r="H227" s="3" t="str">
        <x:v>Plan approval and telemetry do not establish candidate-independent expected outcomes or controls exposing faulty checkers.</x:v>
      </x:c>
      <x:c r="I227" s="3" t="str">
        <x:v>https://geminicli.com/docs/cli/plan-mode/
https://geminicli.com/docs/cli/telemetry/</x:v>
      </x:c>
    </x:row>
    <x:row r="228" ht="49.5" customHeight="1">
      <x:c r="A228" s="3" t="str">
        <x:v>GEMINI</x:v>
      </x:c>
      <x:c r="B228" s="3" t="str">
        <x:v>Google Gemini CLI</x:v>
      </x:c>
      <x:c r="C228" s="3" t="str">
        <x:v>C16</x:v>
      </x:c>
      <x:c r="D228" s="9" t="n">
        <x:v>1</x:v>
      </x:c>
      <x:c r="E228" s="9" t="str">
        <x:v>R</x:v>
      </x:c>
      <x:c r="F228" s="9" t="str">
        <x:v>high</x:v>
      </x:c>
      <x:c r="G228" s="3" t="str">
        <x:v>GEMINI-S1
GEMINI-S3</x:v>
      </x:c>
      <x:c r="H228" s="3" t="str">
        <x:v>Plan acceptance and tool authorization differ; complete claim/evidence/judgment separation remains unqualified.</x:v>
      </x:c>
      <x:c r="I228" s="3" t="str">
        <x:v>https://geminicli.com/docs/cli/plan-mode/
https://geminicli.com/docs/reference/policy-engine/</x:v>
      </x:c>
    </x:row>
    <x:row r="229" ht="49.5" customHeight="1">
      <x:c r="A229" s="3" t="str">
        <x:v>GEMINI</x:v>
      </x:c>
      <x:c r="B229" s="3" t="str">
        <x:v>Google Gemini CLI</x:v>
      </x:c>
      <x:c r="C229" s="3" t="str">
        <x:v>C17</x:v>
      </x:c>
      <x:c r="D229" s="9" t="n">
        <x:v>1</x:v>
      </x:c>
      <x:c r="E229" s="9" t="str">
        <x:v>R</x:v>
      </x:c>
      <x:c r="F229" s="9" t="str">
        <x:v>high</x:v>
      </x:c>
      <x:c r="G229" s="3" t="str">
        <x:v>GEMINI-S4
GEMINI-S5</x:v>
      </x:c>
      <x:c r="H229" s="3" t="str">
        <x:v>Project snapshots and prompt/tool trace identifiers bind execution records; exact governing-basis qualification and verdict scope remain unspecified.</x:v>
      </x:c>
      <x:c r="I229" s="3" t="str">
        <x:v>https://geminicli.com/docs/cli/checkpointing/
https://geminicli.com/docs/cli/telemetry/</x:v>
      </x:c>
    </x:row>
    <x:row r="230" ht="49.5" customHeight="1">
      <x:c r="A230" s="3" t="str">
        <x:v>GEMINI</x:v>
      </x:c>
      <x:c r="B230" s="3" t="str">
        <x:v>Google Gemini CLI</x:v>
      </x:c>
      <x:c r="C230" s="3" t="str">
        <x:v>C18</x:v>
      </x:c>
      <x:c r="D230" s="9" t="n">
        <x:v>1</x:v>
      </x:c>
      <x:c r="E230" s="9" t="str">
        <x:v>G</x:v>
      </x:c>
      <x:c r="F230" s="9" t="str">
        <x:v>medium</x:v>
      </x:c>
      <x:c r="G230" s="3" t="str">
        <x:v>GEMINI-S3
GEMINI-S5</x:v>
      </x:c>
      <x:c r="H230" s="3" t="str">
        <x:v>Denied-tool examples and retry/error records support negative handling; complete regression and changed-basis test coverage are unqualified.</x:v>
      </x:c>
      <x:c r="I230" s="3" t="str">
        <x:v>https://geminicli.com/docs/reference/policy-engine/
https://geminicli.com/docs/cli/telemetry/</x:v>
      </x:c>
    </x:row>
    <x:row r="231" ht="49.5" customHeight="1">
      <x:c r="A231" s="3" t="str">
        <x:v>GEMINI</x:v>
      </x:c>
      <x:c r="B231" s="3" t="str">
        <x:v>Google Gemini CLI</x:v>
      </x:c>
      <x:c r="C231" s="3" t="str">
        <x:v>C19</x:v>
      </x:c>
      <x:c r="D231" s="9" t="n">
        <x:v>3</x:v>
      </x:c>
      <x:c r="E231" s="9" t="str">
        <x:v>G</x:v>
      </x:c>
      <x:c r="F231" s="9" t="str">
        <x:v>high</x:v>
      </x:c>
      <x:c r="G231" s="3" t="str">
        <x:v>GEMINI-S1
GEMINI-S6</x:v>
      </x:c>
      <x:c r="H231" s="3" t="str">
        <x:v>Public planning and skill-management flows provide ordinary entry paths.</x:v>
      </x:c>
      <x:c r="I231" s="3" t="str">
        <x:v>https://geminicli.com/docs/cli/plan-mode/
https://geminicli.com/docs/cli/using-agent-skills/</x:v>
      </x:c>
    </x:row>
    <x:row r="232" ht="49.5" customHeight="1">
      <x:c r="A232" s="3" t="str">
        <x:v>GEMINI</x:v>
      </x:c>
      <x:c r="B232" s="3" t="str">
        <x:v>Google Gemini CLI</x:v>
      </x:c>
      <x:c r="C232" s="3" t="str">
        <x:v>C20</x:v>
      </x:c>
      <x:c r="D232" s="9" t="n">
        <x:v>3</x:v>
      </x:c>
      <x:c r="E232" s="9" t="str">
        <x:v>R</x:v>
      </x:c>
      <x:c r="F232" s="9" t="str">
        <x:v>high</x:v>
      </x:c>
      <x:c r="G232" s="3" t="str">
        <x:v>GEMINI-S6</x:v>
      </x:c>
      <x:c r="H232" s="3" t="str">
        <x:v>Discoverable built-in, extension, user and workspace skill directories reuse source-backed procedural context with explicit precedence.</x:v>
      </x:c>
      <x:c r="I232" s="3" t="str">
        <x:v>https://geminicli.com/docs/cli/using-agent-skills/</x:v>
      </x:c>
    </x:row>
    <x:row r="233" ht="49.5" customHeight="1">
      <x:c r="A233" s="3" t="str">
        <x:v>GEMINI</x:v>
      </x:c>
      <x:c r="B233" s="3" t="str">
        <x:v>Google Gemini CLI</x:v>
      </x:c>
      <x:c r="C233" s="3" t="str">
        <x:v>C21</x:v>
      </x:c>
      <x:c r="D233" s="9" t="n">
        <x:v>1</x:v>
      </x:c>
      <x:c r="E233" s="9" t="str">
        <x:v>R</x:v>
      </x:c>
      <x:c r="F233" s="9" t="str">
        <x:v>high</x:v>
      </x:c>
      <x:c r="G233" s="3" t="str">
        <x:v>GEMINI-S5</x:v>
      </x:c>
      <x:c r="H233" s="3" t="str">
        <x:v>Exportable OpenTelemetry aids run review and debugging; reproducible quality evaluation and feedback-to-source repair need surrounding tooling.</x:v>
      </x:c>
      <x:c r="I233" s="3" t="str">
        <x:v>https://geminicli.com/docs/cli/telemetry/</x:v>
      </x:c>
    </x:row>
    <x:row r="234" ht="49.5" customHeight="1">
      <x:c r="A234" s="3" t="str">
        <x:v>GEMINI</x:v>
      </x:c>
      <x:c r="B234" s="3" t="str">
        <x:v>Google Gemini CLI</x:v>
      </x:c>
      <x:c r="C234" s="3" t="str">
        <x:v>C22</x:v>
      </x:c>
      <x:c r="D234" s="9" t="n">
        <x:v>2</x:v>
      </x:c>
      <x:c r="E234" s="9" t="str">
        <x:v>R</x:v>
      </x:c>
      <x:c r="F234" s="9" t="str">
        <x:v>high</x:v>
      </x:c>
      <x:c r="G234" s="3" t="str">
        <x:v>GEMINI-S5</x:v>
      </x:c>
      <x:c r="H234" s="3" t="str">
        <x:v>Input/output/thought/cache/tool token counts and API durations are exposed; delegated critical path and complete context semantics remain partial.</x:v>
      </x:c>
      <x:c r="I234" s="3" t="str">
        <x:v>https://geminicli.com/docs/cli/telemetry/</x:v>
      </x:c>
    </x:row>
    <x:row r="235" ht="49.5" customHeight="1">
      <x:c r="A235" s="3" t="str">
        <x:v>GEMINI</x:v>
      </x:c>
      <x:c r="B235" s="3" t="str">
        <x:v>Google Gemini CLI</x:v>
      </x:c>
      <x:c r="C235" s="3" t="str">
        <x:v>C23</x:v>
      </x:c>
      <x:c r="D235" s="9" t="str">
        <x:v>U</x:v>
      </x:c>
      <x:c r="E235" s="9" t="str">
        <x:v>U</x:v>
      </x:c>
      <x:c r="F235" s="9" t="str">
        <x:v>low</x:v>
      </x:c>
      <x:c r="G235" s="3" t="str">
        <x:v>GEMINI-S1
GEMINI-S5</x:v>
      </x:c>
      <x:c r="H235" s="3" t="str">
        <x:v>Capability/telemetry sources provide no qualified ordinary-task effectiveness measurements.</x:v>
      </x:c>
      <x:c r="I235" s="3" t="str">
        <x:v>https://geminicli.com/docs/cli/plan-mode/
https://geminicli.com/docs/cli/telemetry/</x:v>
      </x:c>
    </x:row>
    <x:row r="236" ht="49.5" customHeight="1">
      <x:c r="A236" s="3" t="str">
        <x:v>GEMINI</x:v>
      </x:c>
      <x:c r="B236" s="3" t="str">
        <x:v>Google Gemini CLI</x:v>
      </x:c>
      <x:c r="C236" s="3" t="str">
        <x:v>C24</x:v>
      </x:c>
      <x:c r="D236" s="9" t="str">
        <x:v>U</x:v>
      </x:c>
      <x:c r="E236" s="9" t="str">
        <x:v>U</x:v>
      </x:c>
      <x:c r="F236" s="9" t="str">
        <x:v>low</x:v>
      </x:c>
      <x:c r="G236" s="3" t="str">
        <x:v>GEMINI-S1
GEMINI-S6</x:v>
      </x:c>
      <x:c r="H236" s="3" t="str">
        <x:v>Skills and plans do not qualify fresh-actor method fidelity or faulty-guidance/oracle controls.</x:v>
      </x:c>
      <x:c r="I236" s="3" t="str">
        <x:v>https://geminicli.com/docs/cli/plan-mode/
https://geminicli.com/docs/cli/using-agent-skills/</x:v>
      </x:c>
    </x:row>
    <x:row r="237" ht="49.5" customHeight="1">
      <x:c r="A237" s="3" t="str">
        <x:v>GEMINI</x:v>
      </x:c>
      <x:c r="B237" s="3" t="str">
        <x:v>Google Gemini CLI</x:v>
      </x:c>
      <x:c r="C237" s="3" t="str">
        <x:v>C25</x:v>
      </x:c>
      <x:c r="D237" s="9" t="n">
        <x:v>1</x:v>
      </x:c>
      <x:c r="E237" s="9" t="str">
        <x:v>R</x:v>
      </x:c>
      <x:c r="F237" s="9" t="str">
        <x:v>medium</x:v>
      </x:c>
      <x:c r="G237" s="3" t="str">
        <x:v>GEMINI-S3
GEMINI-S6</x:v>
      </x:c>
      <x:c r="H237" s="3" t="str">
        <x:v>Configured tool/subagent policies and skill consent restrict actions/context access; retrieved-instruction authority and comprehensive secret/egress boundaries are not established by these mechanisms.</x:v>
      </x:c>
      <x:c r="I237" s="3" t="str">
        <x:v>https://geminicli.com/docs/reference/policy-engine/
https://geminicli.com/docs/cli/using-agent-skills/</x:v>
      </x:c>
    </x:row>
    <x:row r="238" ht="49.5" customHeight="1">
      <x:c r="A238" s="3" t="str">
        <x:v>GEMINI</x:v>
      </x:c>
      <x:c r="B238" s="3" t="str">
        <x:v>Google Gemini CLI</x:v>
      </x:c>
      <x:c r="C238" s="3" t="str">
        <x:v>C26</x:v>
      </x:c>
      <x:c r="D238" s="9" t="n">
        <x:v>2</x:v>
      </x:c>
      <x:c r="E238" s="9" t="str">
        <x:v>R</x:v>
      </x:c>
      <x:c r="F238" s="9" t="str">
        <x:v>high</x:v>
      </x:c>
      <x:c r="G238" s="3" t="str">
        <x:v>GEMINI-S2</x:v>
      </x:c>
      <x:c r="H238" s="3" t="str">
        <x:v>Subagent max_turns and timeout_mins plus recursion protection bound delegated loops; global spend/concurrency caps and cancellation reconciliation remain unqualified.</x:v>
      </x:c>
      <x:c r="I238" s="3" t="str">
        <x:v>https://geminicli.com/docs/core/subagents/</x:v>
      </x:c>
    </x:row>
    <x:row r="239" ht="49.5" customHeight="1">
      <x:c r="A239" s="3" t="str">
        <x:v>QWEN</x:v>
      </x:c>
      <x:c r="B239" s="3" t="str">
        <x:v>Qwen Code</x:v>
      </x:c>
      <x:c r="C239" s="3" t="str">
        <x:v>C01</x:v>
      </x:c>
      <x:c r="D239" s="9" t="n">
        <x:v>2</x:v>
      </x:c>
      <x:c r="E239" s="9" t="str">
        <x:v>R</x:v>
      </x:c>
      <x:c r="F239" s="9" t="str">
        <x:v>high</x:v>
      </x:c>
      <x:c r="G239" s="3" t="str">
        <x:v>QW08</x:v>
      </x:c>
      <x:c r="H239" s="3" t="str">
        <x:v>Native Goals support owner-defined outcomes/exclusions/checks; objective quality remains operator-dependent.</x:v>
      </x:c>
      <x:c r="I239" s="3" t="str">
        <x:v>https://qwenlm.github.io/qwen-code-docs/en/users/features/goals/</x:v>
      </x:c>
    </x:row>
    <x:row r="240" ht="49.5" customHeight="1">
      <x:c r="A240" s="3" t="str">
        <x:v>QWEN</x:v>
      </x:c>
      <x:c r="B240" s="3" t="str">
        <x:v>Qwen Code</x:v>
      </x:c>
      <x:c r="C240" s="3" t="str">
        <x:v>C02</x:v>
      </x:c>
      <x:c r="D240" s="9" t="n">
        <x:v>2</x:v>
      </x:c>
      <x:c r="E240" s="9" t="str">
        <x:v>R</x:v>
      </x:c>
      <x:c r="F240" s="9" t="str">
        <x:v>medium</x:v>
      </x:c>
      <x:c r="G240" s="3" t="str">
        <x:v>QW07
QW08</x:v>
      </x:c>
      <x:c r="H240" s="3" t="str">
        <x:v>Issue-fidelity and objective checks link intent to code; full specification chain remains external.</x:v>
      </x:c>
      <x:c r="I240" s="3" t="str">
        <x:v>https://qwenlm.github.io/qwen-code-docs/en/users/features/code-review/
https://qwenlm.github.io/qwen-code-docs/en/users/features/goals/</x:v>
      </x:c>
    </x:row>
    <x:row r="241" ht="49.5" customHeight="1">
      <x:c r="A241" s="3" t="str">
        <x:v>QWEN</x:v>
      </x:c>
      <x:c r="B241" s="3" t="str">
        <x:v>Qwen Code</x:v>
      </x:c>
      <x:c r="C241" s="3" t="str">
        <x:v>C03</x:v>
      </x:c>
      <x:c r="D241" s="9" t="n">
        <x:v>2</x:v>
      </x:c>
      <x:c r="E241" s="9" t="str">
        <x:v>R</x:v>
      </x:c>
      <x:c r="F241" s="9" t="str">
        <x:v>medium</x:v>
      </x:c>
      <x:c r="G241" s="3" t="str">
        <x:v>QW05
QW07</x:v>
      </x:c>
      <x:c r="H241" s="3" t="str">
        <x:v>PR/diff identities and identity-bound transcript ownership distinguish subject, evidence and live state.</x:v>
      </x:c>
      <x:c r="I241" s="3" t="str">
        <x:v>https://qwenlm.github.io/qwen-code-docs/en/users/conversations-recovery/
https://qwenlm.github.io/qwen-code-docs/en/users/features/code-review/</x:v>
      </x:c>
    </x:row>
    <x:row r="242" ht="49.5" customHeight="1">
      <x:c r="A242" s="3" t="str">
        <x:v>QWEN</x:v>
      </x:c>
      <x:c r="B242" s="3" t="str">
        <x:v>Qwen Code</x:v>
      </x:c>
      <x:c r="C242" s="3" t="str">
        <x:v>C04</x:v>
      </x:c>
      <x:c r="D242" s="9" t="n">
        <x:v>2</x:v>
      </x:c>
      <x:c r="E242" s="9" t="str">
        <x:v>R</x:v>
      </x:c>
      <x:c r="F242" s="9" t="str">
        <x:v>medium</x:v>
      </x:c>
      <x:c r="G242" s="3" t="str">
        <x:v>QW07</x:v>
      </x:c>
      <x:c r="H242" s="3" t="str">
        <x:v>Review receipts and complete finding-outcome ledgers preserve scoped joins; general semantic composition unestablished.</x:v>
      </x:c>
      <x:c r="I242" s="3" t="str">
        <x:v>https://qwenlm.github.io/qwen-code-docs/en/users/features/code-review/</x:v>
      </x:c>
    </x:row>
    <x:row r="243" ht="49.5" customHeight="1">
      <x:c r="A243" s="3" t="str">
        <x:v>QWEN</x:v>
      </x:c>
      <x:c r="B243" s="3" t="str">
        <x:v>Qwen Code</x:v>
      </x:c>
      <x:c r="C243" s="3" t="str">
        <x:v>C05</x:v>
      </x:c>
      <x:c r="D243" s="9" t="n">
        <x:v>2</x:v>
      </x:c>
      <x:c r="E243" s="9" t="str">
        <x:v>R</x:v>
      </x:c>
      <x:c r="F243" s="9" t="str">
        <x:v>high</x:v>
      </x:c>
      <x:c r="G243" s="3" t="str">
        <x:v>QW07</x:v>
      </x:c>
      <x:c r="H243" s="3" t="str">
        <x:v>Changed head/diff/model invalidates review anchors; prior findings survive for renewed judgment.</x:v>
      </x:c>
      <x:c r="I243" s="3" t="str">
        <x:v>https://qwenlm.github.io/qwen-code-docs/en/users/features/code-review/</x:v>
      </x:c>
    </x:row>
    <x:row r="244" ht="49.5" customHeight="1">
      <x:c r="A244" s="3" t="str">
        <x:v>QWEN</x:v>
      </x:c>
      <x:c r="B244" s="3" t="str">
        <x:v>Qwen Code</x:v>
      </x:c>
      <x:c r="C244" s="3" t="str">
        <x:v>C06</x:v>
      </x:c>
      <x:c r="D244" s="9" t="str">
        <x:v>NA</x:v>
      </x:c>
      <x:c r="E244" s="9" t="str">
        <x:v>R</x:v>
      </x:c>
      <x:c r="F244" s="9" t="str">
        <x:v>high</x:v>
      </x:c>
      <x:c r="G244" s="3" t="str">
        <x:v>QW01
QW08</x:v>
      </x:c>
      <x:c r="H244" s="3" t="str">
        <x:v>Coding harness does not own product release/adoption; integrating project method remains responsible.</x:v>
      </x:c>
      <x:c r="I244" s="3" t="str">
        <x:v>https://github.com/QwenLM/qwen-code
https://qwenlm.github.io/qwen-code-docs/en/users/features/goals/</x:v>
      </x:c>
    </x:row>
    <x:row r="245" ht="49.5" customHeight="1">
      <x:c r="A245" s="3" t="str">
        <x:v>QWEN</x:v>
      </x:c>
      <x:c r="B245" s="3" t="str">
        <x:v>Qwen Code</x:v>
      </x:c>
      <x:c r="C245" s="3" t="str">
        <x:v>C07</x:v>
      </x:c>
      <x:c r="D245" s="9" t="n">
        <x:v>2</x:v>
      </x:c>
      <x:c r="E245" s="9" t="str">
        <x:v>R</x:v>
      </x:c>
      <x:c r="F245" s="9" t="str">
        <x:v>high</x:v>
      </x:c>
      <x:c r="G245" s="3" t="str">
        <x:v>QW04
QW06
QW08</x:v>
      </x:c>
      <x:c r="H245" s="3" t="str">
        <x:v>Lazy source-backed skills and disclosed verifier exclusions support targeted context.</x:v>
      </x:c>
      <x:c r="I245" s="3" t="str">
        <x:v>https://qwenlm.github.io/qwen-code-docs/en/users/features/context-cost/
https://qwenlm.github.io/qwen-code-docs/en/users/features/skills/
https://qwenlm.github.io/qwen-code-docs/en/users/features/goals/</x:v>
      </x:c>
    </x:row>
    <x:row r="246" ht="49.5" customHeight="1">
      <x:c r="A246" s="3" t="str">
        <x:v>QWEN</x:v>
      </x:c>
      <x:c r="B246" s="3" t="str">
        <x:v>Qwen Code</x:v>
      </x:c>
      <x:c r="C246" s="3" t="str">
        <x:v>C08</x:v>
      </x:c>
      <x:c r="D246" s="9" t="n">
        <x:v>2</x:v>
      </x:c>
      <x:c r="E246" s="9" t="str">
        <x:v>R</x:v>
      </x:c>
      <x:c r="F246" s="9" t="str">
        <x:v>high</x:v>
      </x:c>
      <x:c r="G246" s="3" t="str">
        <x:v>QW04
QW07</x:v>
      </x:c>
      <x:c r="H246" s="3" t="str">
        <x:v>Actual context breakdown and review deadline refusals exist; complete required-context fit remains narrower.</x:v>
      </x:c>
      <x:c r="I246" s="3" t="str">
        <x:v>https://qwenlm.github.io/qwen-code-docs/en/users/features/context-cost/
https://qwenlm.github.io/qwen-code-docs/en/users/features/code-review/</x:v>
      </x:c>
    </x:row>
    <x:row r="247" ht="49.5" customHeight="1">
      <x:c r="A247" s="3" t="str">
        <x:v>QWEN</x:v>
      </x:c>
      <x:c r="B247" s="3" t="str">
        <x:v>Qwen Code</x:v>
      </x:c>
      <x:c r="C247" s="3" t="str">
        <x:v>C09</x:v>
      </x:c>
      <x:c r="D247" s="9" t="n">
        <x:v>2</x:v>
      </x:c>
      <x:c r="E247" s="9" t="str">
        <x:v>R</x:v>
      </x:c>
      <x:c r="F247" s="9" t="str">
        <x:v>high</x:v>
      </x:c>
      <x:c r="G247" s="3" t="str">
        <x:v>QW03</x:v>
      </x:c>
      <x:c r="H247" s="3" t="str">
        <x:v>Native fresh/forked agents, parent continuation and restricted delegation boundaries are explicit.</x:v>
      </x:c>
      <x:c r="I247" s="3" t="str">
        <x:v>https://qwenlm.github.io/qwen-code-docs/en/users/features/sub-agents/</x:v>
      </x:c>
    </x:row>
    <x:row r="248" ht="49.5" customHeight="1">
      <x:c r="A248" s="3" t="str">
        <x:v>QWEN</x:v>
      </x:c>
      <x:c r="B248" s="3" t="str">
        <x:v>Qwen Code</x:v>
      </x:c>
      <x:c r="C248" s="3" t="str">
        <x:v>C10</x:v>
      </x:c>
      <x:c r="D248" s="9" t="n">
        <x:v>3</x:v>
      </x:c>
      <x:c r="E248" s="9" t="str">
        <x:v>R</x:v>
      </x:c>
      <x:c r="F248" s="9" t="str">
        <x:v>high</x:v>
      </x:c>
      <x:c r="G248" s="3" t="str">
        <x:v>QW05
QW07</x:v>
      </x:c>
      <x:c r="H248" s="3" t="str">
        <x:v>PR review resumes only with matching head, clean worktree and unchanged diff.</x:v>
      </x:c>
      <x:c r="I248" s="3" t="str">
        <x:v>https://qwenlm.github.io/qwen-code-docs/en/users/conversations-recovery/
https://qwenlm.github.io/qwen-code-docs/en/users/features/code-review/</x:v>
      </x:c>
    </x:row>
    <x:row r="249" ht="49.5" customHeight="1">
      <x:c r="A249" s="3" t="str">
        <x:v>QWEN</x:v>
      </x:c>
      <x:c r="B249" s="3" t="str">
        <x:v>Qwen Code</x:v>
      </x:c>
      <x:c r="C249" s="3" t="str">
        <x:v>C11</x:v>
      </x:c>
      <x:c r="D249" s="9" t="n">
        <x:v>3</x:v>
      </x:c>
      <x:c r="E249" s="9" t="str">
        <x:v>R</x:v>
      </x:c>
      <x:c r="F249" s="9" t="str">
        <x:v>high</x:v>
      </x:c>
      <x:c r="G249" s="3" t="str">
        <x:v>QW08</x:v>
      </x:c>
      <x:c r="H249" s="3" t="str">
        <x:v>Goal verifier distinguishes evidenced completion, not-yet and unverifiable/blocked conditions with stop reasons.</x:v>
      </x:c>
      <x:c r="I249" s="3" t="str">
        <x:v>https://qwenlm.github.io/qwen-code-docs/en/users/features/goals/</x:v>
      </x:c>
    </x:row>
    <x:row r="250" ht="49.5" customHeight="1">
      <x:c r="A250" s="3" t="str">
        <x:v>QWEN</x:v>
      </x:c>
      <x:c r="B250" s="3" t="str">
        <x:v>Qwen Code</x:v>
      </x:c>
      <x:c r="C250" s="3" t="str">
        <x:v>C12</x:v>
      </x:c>
      <x:c r="D250" s="9" t="n">
        <x:v>2</x:v>
      </x:c>
      <x:c r="E250" s="9" t="str">
        <x:v>R</x:v>
      </x:c>
      <x:c r="F250" s="9" t="str">
        <x:v>medium</x:v>
      </x:c>
      <x:c r="G250" s="3" t="str">
        <x:v>QW05</x:v>
      </x:c>
      <x:c r="H250" s="3" t="str">
        <x:v>Recovery fences uncertain writer ownership; external tool-effect deduplication remains unestablished.</x:v>
      </x:c>
      <x:c r="I250" s="3" t="str">
        <x:v>https://qwenlm.github.io/qwen-code-docs/en/users/conversations-recovery/</x:v>
      </x:c>
    </x:row>
    <x:row r="251" ht="49.5" customHeight="1">
      <x:c r="A251" s="3" t="str">
        <x:v>QWEN</x:v>
      </x:c>
      <x:c r="B251" s="3" t="str">
        <x:v>Qwen Code</x:v>
      </x:c>
      <x:c r="C251" s="3" t="str">
        <x:v>C13</x:v>
      </x:c>
      <x:c r="D251" s="9" t="n">
        <x:v>3</x:v>
      </x:c>
      <x:c r="E251" s="9" t="str">
        <x:v>R</x:v>
      </x:c>
      <x:c r="F251" s="9" t="str">
        <x:v>high</x:v>
      </x:c>
      <x:c r="G251" s="3" t="str">
        <x:v>QW02</x:v>
      </x:c>
      <x:c r="H251" s="3" t="str">
        <x:v>Configured deny/approval policies act before tools; classifier uncertainty fails closed with fallback.</x:v>
      </x:c>
      <x:c r="I251" s="3" t="str">
        <x:v>https://qwenlm.github.io/qwen-code-docs/en/users/features/approval-mode/</x:v>
      </x:c>
    </x:row>
    <x:row r="252" ht="49.5" customHeight="1">
      <x:c r="A252" s="3" t="str">
        <x:v>QWEN</x:v>
      </x:c>
      <x:c r="B252" s="3" t="str">
        <x:v>Qwen Code</x:v>
      </x:c>
      <x:c r="C252" s="3" t="str">
        <x:v>C14</x:v>
      </x:c>
      <x:c r="D252" s="9" t="n">
        <x:v>2</x:v>
      </x:c>
      <x:c r="E252" s="9" t="str">
        <x:v>R</x:v>
      </x:c>
      <x:c r="F252" s="9" t="str">
        <x:v>medium</x:v>
      </x:c>
      <x:c r="G252" s="3" t="str">
        <x:v>QW07
QW08</x:v>
      </x:c>
      <x:c r="H252" s="3" t="str">
        <x:v>Separate verifier/review passes assess claims; shared model/reference limitations remain.</x:v>
      </x:c>
      <x:c r="I252" s="3" t="str">
        <x:v>https://qwenlm.github.io/qwen-code-docs/en/users/features/code-review/
https://qwenlm.github.io/qwen-code-docs/en/users/features/goals/</x:v>
      </x:c>
    </x:row>
    <x:row r="253" ht="49.5" customHeight="1">
      <x:c r="A253" s="3" t="str">
        <x:v>QWEN</x:v>
      </x:c>
      <x:c r="B253" s="3" t="str">
        <x:v>Qwen Code</x:v>
      </x:c>
      <x:c r="C253" s="3" t="str">
        <x:v>C15</x:v>
      </x:c>
      <x:c r="D253" s="9" t="n">
        <x:v>2</x:v>
      </x:c>
      <x:c r="E253" s="9" t="str">
        <x:v>P</x:v>
      </x:c>
      <x:c r="F253" s="9" t="str">
        <x:v>medium</x:v>
      </x:c>
      <x:c r="G253" s="3" t="str">
        <x:v>QW01</x:v>
      </x:c>
      <x:c r="H253" s="3" t="str">
        <x:v>Published CLI SWE-bench trials use external task expectations; faulty-oracle controls undisclosed.</x:v>
      </x:c>
      <x:c r="I253" s="3" t="str">
        <x:v>https://github.com/QwenLM/qwen-code</x:v>
      </x:c>
    </x:row>
    <x:row r="254" ht="49.5" customHeight="1">
      <x:c r="A254" s="3" t="str">
        <x:v>QWEN</x:v>
      </x:c>
      <x:c r="B254" s="3" t="str">
        <x:v>Qwen Code</x:v>
      </x:c>
      <x:c r="C254" s="3" t="str">
        <x:v>C16</x:v>
      </x:c>
      <x:c r="D254" s="9" t="n">
        <x:v>3</x:v>
      </x:c>
      <x:c r="E254" s="9" t="str">
        <x:v>R</x:v>
      </x:c>
      <x:c r="F254" s="9" t="str">
        <x:v>high</x:v>
      </x:c>
      <x:c r="G254" s="3" t="str">
        <x:v>QW07</x:v>
      </x:c>
      <x:c r="H254" s="3" t="str">
        <x:v>Unverified/limited review verdicts and CI failures cap approval; findings remain separately reported.</x:v>
      </x:c>
      <x:c r="I254" s="3" t="str">
        <x:v>https://qwenlm.github.io/qwen-code-docs/en/users/features/code-review/</x:v>
      </x:c>
    </x:row>
    <x:row r="255" ht="49.5" customHeight="1">
      <x:c r="A255" s="3" t="str">
        <x:v>QWEN</x:v>
      </x:c>
      <x:c r="B255" s="3" t="str">
        <x:v>Qwen Code</x:v>
      </x:c>
      <x:c r="C255" s="3" t="str">
        <x:v>C17</x:v>
      </x:c>
      <x:c r="D255" s="9" t="n">
        <x:v>3</x:v>
      </x:c>
      <x:c r="E255" s="9" t="str">
        <x:v>R</x:v>
      </x:c>
      <x:c r="F255" s="9" t="str">
        <x:v>high</x:v>
      </x:c>
      <x:c r="G255" s="3" t="str">
        <x:v>QW07</x:v>
      </x:c>
      <x:c r="H255" s="3" t="str">
        <x:v>Review binds PR/diff/model scope and documents resumption/coverage limits.</x:v>
      </x:c>
      <x:c r="I255" s="3" t="str">
        <x:v>https://qwenlm.github.io/qwen-code-docs/en/users/features/code-review/</x:v>
      </x:c>
    </x:row>
    <x:row r="256" ht="49.5" customHeight="1">
      <x:c r="A256" s="3" t="str">
        <x:v>QWEN</x:v>
      </x:c>
      <x:c r="B256" s="3" t="str">
        <x:v>Qwen Code</x:v>
      </x:c>
      <x:c r="C256" s="3" t="str">
        <x:v>C18</x:v>
      </x:c>
      <x:c r="D256" s="9" t="n">
        <x:v>2</x:v>
      </x:c>
      <x:c r="E256" s="9" t="str">
        <x:v>R</x:v>
      </x:c>
      <x:c r="F256" s="9" t="str">
        <x:v>high</x:v>
      </x:c>
      <x:c r="G256" s="3" t="str">
        <x:v>QW05
QW07</x:v>
      </x:c>
      <x:c r="H256" s="3" t="str">
        <x:v>Adversarial/error reviews and fail-closed recovery cover scoped negative cases.</x:v>
      </x:c>
      <x:c r="I256" s="3" t="str">
        <x:v>https://qwenlm.github.io/qwen-code-docs/en/users/conversations-recovery/
https://qwenlm.github.io/qwen-code-docs/en/users/features/code-review/</x:v>
      </x:c>
    </x:row>
    <x:row r="257" ht="49.5" customHeight="1">
      <x:c r="A257" s="3" t="str">
        <x:v>QWEN</x:v>
      </x:c>
      <x:c r="B257" s="3" t="str">
        <x:v>Qwen Code</x:v>
      </x:c>
      <x:c r="C257" s="3" t="str">
        <x:v>C19</x:v>
      </x:c>
      <x:c r="D257" s="9" t="n">
        <x:v>3</x:v>
      </x:c>
      <x:c r="E257" s="9" t="str">
        <x:v>G</x:v>
      </x:c>
      <x:c r="F257" s="9" t="str">
        <x:v>high</x:v>
      </x:c>
      <x:c r="G257" s="3" t="str">
        <x:v>QW01</x:v>
      </x:c>
      <x:c r="H257" s="3" t="str">
        <x:v>Ordinary install/auth/project examples provide an explicit first-use path.</x:v>
      </x:c>
      <x:c r="I257" s="3" t="str">
        <x:v>https://github.com/QwenLM/qwen-code</x:v>
      </x:c>
    </x:row>
    <x:row r="258" ht="49.5" customHeight="1">
      <x:c r="A258" s="3" t="str">
        <x:v>QWEN</x:v>
      </x:c>
      <x:c r="B258" s="3" t="str">
        <x:v>Qwen Code</x:v>
      </x:c>
      <x:c r="C258" s="3" t="str">
        <x:v>C20</x:v>
      </x:c>
      <x:c r="D258" s="9" t="n">
        <x:v>3</x:v>
      </x:c>
      <x:c r="E258" s="9" t="str">
        <x:v>R</x:v>
      </x:c>
      <x:c r="F258" s="9" t="str">
        <x:v>high</x:v>
      </x:c>
      <x:c r="G258" s="3" t="str">
        <x:v>QW06</x:v>
      </x:c>
      <x:c r="H258" s="3" t="str">
        <x:v>Discoverable SKILL.md instructions and supporting resources reuse across projects and actors.</x:v>
      </x:c>
      <x:c r="I258" s="3" t="str">
        <x:v>https://qwenlm.github.io/qwen-code-docs/en/users/features/skills/</x:v>
      </x:c>
    </x:row>
    <x:row r="259" ht="49.5" customHeight="1">
      <x:c r="A259" s="3" t="str">
        <x:v>QWEN</x:v>
      </x:c>
      <x:c r="B259" s="3" t="str">
        <x:v>Qwen Code</x:v>
      </x:c>
      <x:c r="C259" s="3" t="str">
        <x:v>C21</x:v>
      </x:c>
      <x:c r="D259" s="9" t="n">
        <x:v>3</x:v>
      </x:c>
      <x:c r="E259" s="9" t="str">
        <x:v>R</x:v>
      </x:c>
      <x:c r="F259" s="9" t="str">
        <x:v>high</x:v>
      </x:c>
      <x:c r="G259" s="3" t="str">
        <x:v>QW07</x:v>
      </x:c>
      <x:c r="H259" s="3" t="str">
        <x:v>Verified findings, mandatory outcome ledger, fix audit and CI review support feedback.</x:v>
      </x:c>
      <x:c r="I259" s="3" t="str">
        <x:v>https://qwenlm.github.io/qwen-code-docs/en/users/features/code-review/</x:v>
      </x:c>
    </x:row>
    <x:row r="260" ht="49.5" customHeight="1">
      <x:c r="A260" s="3" t="str">
        <x:v>QWEN</x:v>
      </x:c>
      <x:c r="B260" s="3" t="str">
        <x:v>Qwen Code</x:v>
      </x:c>
      <x:c r="C260" s="3" t="str">
        <x:v>C22</x:v>
      </x:c>
      <x:c r="D260" s="9" t="n">
        <x:v>2</x:v>
      </x:c>
      <x:c r="E260" s="9" t="str">
        <x:v>R</x:v>
      </x:c>
      <x:c r="F260" s="9" t="str">
        <x:v>high</x:v>
      </x:c>
      <x:c r="G260" s="3" t="str">
        <x:v>QW04
QW08</x:v>
      </x:c>
      <x:c r="H260" s="3" t="str">
        <x:v>Context/Goal meters define exclusions; nested/background work prevents complete aggregate accounting.</x:v>
      </x:c>
      <x:c r="I260" s="3" t="str">
        <x:v>https://qwenlm.github.io/qwen-code-docs/en/users/features/context-cost/
https://qwenlm.github.io/qwen-code-docs/en/users/features/goals/</x:v>
      </x:c>
    </x:row>
    <x:row r="261" ht="49.5" customHeight="1">
      <x:c r="A261" s="3" t="str">
        <x:v>QWEN</x:v>
      </x:c>
      <x:c r="B261" s="3" t="str">
        <x:v>Qwen Code</x:v>
      </x:c>
      <x:c r="C261" s="3" t="str">
        <x:v>C23</x:v>
      </x:c>
      <x:c r="D261" s="9" t="n">
        <x:v>2</x:v>
      </x:c>
      <x:c r="E261" s="9" t="str">
        <x:v>P</x:v>
      </x:c>
      <x:c r="F261" s="9" t="str">
        <x:v>medium</x:v>
      </x:c>
      <x:c r="G261" s="3" t="str">
        <x:v>QW01</x:v>
      </x:c>
      <x:c r="H261" s="3" t="str">
        <x:v>Named CLI versions were measured under fixed-model SWE-bench conditions; broader superiority unsupported.</x:v>
      </x:c>
      <x:c r="I261" s="3" t="str">
        <x:v>https://github.com/QwenLM/qwen-code</x:v>
      </x:c>
    </x:row>
    <x:row r="262" ht="49.5" customHeight="1">
      <x:c r="A262" s="3" t="str">
        <x:v>QWEN</x:v>
      </x:c>
      <x:c r="B262" s="3" t="str">
        <x:v>Qwen Code</x:v>
      </x:c>
      <x:c r="C262" s="3" t="str">
        <x:v>C24</x:v>
      </x:c>
      <x:c r="D262" s="9" t="n">
        <x:v>2</x:v>
      </x:c>
      <x:c r="E262" s="9" t="str">
        <x:v>R</x:v>
      </x:c>
      <x:c r="F262" s="9" t="str">
        <x:v>medium</x:v>
      </x:c>
      <x:c r="G262" s="3" t="str">
        <x:v>QW07</x:v>
      </x:c>
      <x:c r="H262" s="3" t="str">
        <x:v>Instruction-change review executes prose in disposable copies; faulty-oracle qualification remains unestablished.</x:v>
      </x:c>
      <x:c r="I262" s="3" t="str">
        <x:v>https://qwenlm.github.io/qwen-code-docs/en/users/features/code-review/</x:v>
      </x:c>
    </x:row>
    <x:row r="263" ht="49.5" customHeight="1">
      <x:c r="A263" s="3" t="str">
        <x:v>QWEN</x:v>
      </x:c>
      <x:c r="B263" s="3" t="str">
        <x:v>Qwen Code</x:v>
      </x:c>
      <x:c r="C263" s="3" t="str">
        <x:v>C25</x:v>
      </x:c>
      <x:c r="D263" s="9" t="n">
        <x:v>2</x:v>
      </x:c>
      <x:c r="E263" s="9" t="str">
        <x:v>R</x:v>
      </x:c>
      <x:c r="F263" s="9" t="str">
        <x:v>high</x:v>
      </x:c>
      <x:c r="G263" s="3" t="str">
        <x:v>QW02
QW09</x:v>
      </x:c>
      <x:c r="H263" s="3" t="str">
        <x:v>Optional operator confinement resists workspace overrides and restricts command egress; host/model transport, broad reads and existing descriptors remain outside.</x:v>
      </x:c>
      <x:c r="I263" s="3" t="str">
        <x:v>https://qwenlm.github.io/qwen-code-docs/en/users/features/approval-mode/
https://qwenlm.github.io/qwen-code-docs/en/users/features/sandbox/</x:v>
      </x:c>
    </x:row>
    <x:row r="264" ht="49.5" customHeight="1">
      <x:c r="A264" s="3" t="str">
        <x:v>QWEN</x:v>
      </x:c>
      <x:c r="B264" s="3" t="str">
        <x:v>Qwen Code</x:v>
      </x:c>
      <x:c r="C264" s="3" t="str">
        <x:v>C26</x:v>
      </x:c>
      <x:c r="D264" s="9" t="n">
        <x:v>2</x:v>
      </x:c>
      <x:c r="E264" s="9" t="str">
        <x:v>R</x:v>
      </x:c>
      <x:c r="F264" s="9" t="str">
        <x:v>high</x:v>
      </x:c>
      <x:c r="G264" s="3" t="str">
        <x:v>QW07
QW08</x:v>
      </x:c>
      <x:c r="H264" s="3" t="str">
        <x:v>Goal token/turn budgets permit wind-down; time caps check between turns. Review timeout kills its process group; nested/background Goal delegation excluded.</x:v>
      </x:c>
      <x:c r="I264" s="3" t="str">
        <x:v>https://qwenlm.github.io/qwen-code-docs/en/users/features/code-review/
https://qwenlm.github.io/qwen-code-docs/en/users/features/goals/</x:v>
      </x:c>
    </x:row>
    <x:row r="265" ht="49.5" customHeight="1">
      <x:c r="A265" s="3" t="str">
        <x:v>OASDK</x:v>
      </x:c>
      <x:c r="B265" s="3" t="str">
        <x:v>OpenAI Agents SDK</x:v>
      </x:c>
      <x:c r="C265" s="3" t="str">
        <x:v>C01</x:v>
      </x:c>
      <x:c r="D265" s="9" t="n">
        <x:v>2</x:v>
      </x:c>
      <x:c r="E265" s="9" t="str">
        <x:v>G</x:v>
      </x:c>
      <x:c r="F265" s="9" t="str">
        <x:v>high</x:v>
      </x:c>
      <x:c r="G265" s="3" t="str">
        <x:v>OASDK-S1
OASDK-S3</x:v>
      </x:c>
      <x:c r="H265" s="3" t="str">
        <x:v>Application owns business logic and deployment; specialist and final-reply ownership are explicit, while task success criteria remain caller supplied.</x:v>
      </x:c>
      <x:c r="I265" s="3" t="str">
        <x:v>https://developers.openai.com/api/docs/guides/agents/sdk
https://developers.openai.com/api/docs/guides/agents/orchestration</x:v>
      </x:c>
    </x:row>
    <x:row r="266" ht="49.5" customHeight="1">
      <x:c r="A266" s="3" t="str">
        <x:v>OASDK</x:v>
      </x:c>
      <x:c r="B266" s="3" t="str">
        <x:v>OpenAI Agents SDK</x:v>
      </x:c>
      <x:c r="C266" s="3" t="str">
        <x:v>C02</x:v>
      </x:c>
      <x:c r="D266" s="9" t="str">
        <x:v>U</x:v>
      </x:c>
      <x:c r="E266" s="9" t="str">
        <x:v>U</x:v>
      </x:c>
      <x:c r="F266" s="9" t="str">
        <x:v>low</x:v>
      </x:c>
      <x:c r="G266" s="3" t="str">
        <x:v>OASDK-S1
OASDK-S3</x:v>
      </x:c>
      <x:c r="H266" s="3" t="str">
        <x:v>Agent instructions and routing APIs do not establish a recoverable requirements/realization traceability method.</x:v>
      </x:c>
      <x:c r="I266" s="3" t="str">
        <x:v>https://developers.openai.com/api/docs/guides/agents/sdk
https://developers.openai.com/api/docs/guides/agents/orchestration</x:v>
      </x:c>
    </x:row>
    <x:row r="267" ht="49.5" customHeight="1">
      <x:c r="A267" s="3" t="str">
        <x:v>OASDK</x:v>
      </x:c>
      <x:c r="B267" s="3" t="str">
        <x:v>OpenAI Agents SDK</x:v>
      </x:c>
      <x:c r="C267" s="3" t="str">
        <x:v>C03</x:v>
      </x:c>
      <x:c r="D267" s="9" t="n">
        <x:v>1</x:v>
      </x:c>
      <x:c r="E267" s="9" t="str">
        <x:v>R</x:v>
      </x:c>
      <x:c r="F267" s="9" t="str">
        <x:v>high</x:v>
      </x:c>
      <x:c r="G267" s="3" t="str">
        <x:v>OASDK-S2
OASDK-S5</x:v>
      </x:c>
      <x:c r="H267" s="3" t="str">
        <x:v>Run results, history, last-agent and continuation IDs are separate surfaces; typed state does not resolve contextual semantic identity.</x:v>
      </x:c>
      <x:c r="I267" s="3" t="str">
        <x:v>https://developers.openai.com/api/docs/guides/agents/running-agents
https://developers.openai.com/api/docs/guides/agents/results</x:v>
      </x:c>
    </x:row>
    <x:row r="268" ht="49.5" customHeight="1">
      <x:c r="A268" s="3" t="str">
        <x:v>OASDK</x:v>
      </x:c>
      <x:c r="B268" s="3" t="str">
        <x:v>OpenAI Agents SDK</x:v>
      </x:c>
      <x:c r="C268" s="3" t="str">
        <x:v>C04</x:v>
      </x:c>
      <x:c r="D268" s="9" t="str">
        <x:v>U</x:v>
      </x:c>
      <x:c r="E268" s="9" t="str">
        <x:v>U</x:v>
      </x:c>
      <x:c r="F268" s="9" t="str">
        <x:v>low</x:v>
      </x:c>
      <x:c r="G268" s="3" t="str">
        <x:v>OASDK-S3</x:v>
      </x:c>
      <x:c r="H268" s="3" t="str">
        <x:v>Handoffs and history filters do not establish constraint/failure/missing-coverage conservation across semantic joins.</x:v>
      </x:c>
      <x:c r="I268" s="3" t="str">
        <x:v>https://developers.openai.com/api/docs/guides/agents/orchestration</x:v>
      </x:c>
    </x:row>
    <x:row r="269" ht="49.5" customHeight="1">
      <x:c r="A269" s="3" t="str">
        <x:v>OASDK</x:v>
      </x:c>
      <x:c r="B269" s="3" t="str">
        <x:v>OpenAI Agents SDK</x:v>
      </x:c>
      <x:c r="C269" s="3" t="str">
        <x:v>C05</x:v>
      </x:c>
      <x:c r="D269" s="9" t="str">
        <x:v>U</x:v>
      </x:c>
      <x:c r="E269" s="9" t="str">
        <x:v>U</x:v>
      </x:c>
      <x:c r="F269" s="9" t="str">
        <x:v>low</x:v>
      </x:c>
      <x:c r="G269" s="3" t="str">
        <x:v>OASDK-S2
OASDK-S5</x:v>
      </x:c>
      <x:c r="H269" s="3" t="str">
        <x:v>Continuation preserves state; changed-basis support invalidation with unaffected-work retention is not established.</x:v>
      </x:c>
      <x:c r="I269" s="3" t="str">
        <x:v>https://developers.openai.com/api/docs/guides/agents/running-agents
https://developers.openai.com/api/docs/guides/agents/results</x:v>
      </x:c>
    </x:row>
    <x:row r="270" ht="49.5" customHeight="1">
      <x:c r="A270" s="3" t="str">
        <x:v>OASDK</x:v>
      </x:c>
      <x:c r="B270" s="3" t="str">
        <x:v>OpenAI Agents SDK</x:v>
      </x:c>
      <x:c r="C270" s="3" t="str">
        <x:v>C06</x:v>
      </x:c>
      <x:c r="D270" s="9" t="str">
        <x:v>NA</x:v>
      </x:c>
      <x:c r="E270" s="9" t="str">
        <x:v>G</x:v>
      </x:c>
      <x:c r="F270" s="9" t="str">
        <x:v>high</x:v>
      </x:c>
      <x:c r="G270" s="3" t="str">
        <x:v>OASDK-S1</x:v>
      </x:c>
      <x:c r="H270" s="3" t="str">
        <x:v>Constructed-product qualification and adoption remain surrounding application/product governance; releasing this SDK is outside the criterion.</x:v>
      </x:c>
      <x:c r="I270" s="3" t="str">
        <x:v>https://developers.openai.com/api/docs/guides/agents/sdk</x:v>
      </x:c>
    </x:row>
    <x:row r="271" ht="49.5" customHeight="1">
      <x:c r="A271" s="3" t="str">
        <x:v>OASDK</x:v>
      </x:c>
      <x:c r="B271" s="3" t="str">
        <x:v>OpenAI Agents SDK</x:v>
      </x:c>
      <x:c r="C271" s="3" t="str">
        <x:v>C07</x:v>
      </x:c>
      <x:c r="D271" s="9" t="n">
        <x:v>2</x:v>
      </x:c>
      <x:c r="E271" s="9" t="str">
        <x:v>R</x:v>
      </x:c>
      <x:c r="F271" s="9" t="str">
        <x:v>medium</x:v>
      </x:c>
      <x:c r="G271" s="3" t="str">
        <x:v>OASDK-S3</x:v>
      </x:c>
      <x:c r="H271" s="3" t="str">
        <x:v>Narrow specialists, filtered histories and manager-owned bounded calls select context; completeness and ambient-context exclusions are application decisions.</x:v>
      </x:c>
      <x:c r="I271" s="3" t="str">
        <x:v>https://developers.openai.com/api/docs/guides/agents/orchestration</x:v>
      </x:c>
    </x:row>
    <x:row r="272" ht="49.5" customHeight="1">
      <x:c r="A272" s="3" t="str">
        <x:v>OASDK</x:v>
      </x:c>
      <x:c r="B272" s="3" t="str">
        <x:v>OpenAI Agents SDK</x:v>
      </x:c>
      <x:c r="C272" s="3" t="str">
        <x:v>C08</x:v>
      </x:c>
      <x:c r="D272" s="9" t="n">
        <x:v>1</x:v>
      </x:c>
      <x:c r="E272" s="9" t="str">
        <x:v>R</x:v>
      </x:c>
      <x:c r="F272" s="9" t="str">
        <x:v>high</x:v>
      </x:c>
      <x:c r="G272" s="3" t="str">
        <x:v>OASDK-S2</x:v>
      </x:c>
      <x:c r="H272" s="3" t="str">
        <x:v>Turn limits and stoppages bound execution; no published admission check measures all required context against actor capacity.</x:v>
      </x:c>
      <x:c r="I272" s="3" t="str">
        <x:v>https://developers.openai.com/api/docs/guides/agents/running-agents</x:v>
      </x:c>
    </x:row>
    <x:row r="273" ht="49.5" customHeight="1">
      <x:c r="A273" s="3" t="str">
        <x:v>OASDK</x:v>
      </x:c>
      <x:c r="B273" s="3" t="str">
        <x:v>OpenAI Agents SDK</x:v>
      </x:c>
      <x:c r="C273" s="3" t="str">
        <x:v>C09</x:v>
      </x:c>
      <x:c r="D273" s="9" t="n">
        <x:v>2</x:v>
      </x:c>
      <x:c r="E273" s="9" t="str">
        <x:v>R</x:v>
      </x:c>
      <x:c r="F273" s="9" t="str">
        <x:v>high</x:v>
      </x:c>
      <x:c r="G273" s="3" t="str">
        <x:v>OASDK-S3</x:v>
      </x:c>
      <x:c r="H273" s="3" t="str">
        <x:v>Handoffs transfer reply ownership; agents-as-tools preserve manager ownership for bounded specialist calls.</x:v>
      </x:c>
      <x:c r="I273" s="3" t="str">
        <x:v>https://developers.openai.com/api/docs/guides/agents/orchestration</x:v>
      </x:c>
    </x:row>
    <x:row r="274" ht="49.5" customHeight="1">
      <x:c r="A274" s="3" t="str">
        <x:v>OASDK</x:v>
      </x:c>
      <x:c r="B274" s="3" t="str">
        <x:v>OpenAI Agents SDK</x:v>
      </x:c>
      <x:c r="C274" s="3" t="str">
        <x:v>C10</x:v>
      </x:c>
      <x:c r="D274" s="9" t="n">
        <x:v>2</x:v>
      </x:c>
      <x:c r="E274" s="9" t="str">
        <x:v>R</x:v>
      </x:c>
      <x:c r="F274" s="9" t="str">
        <x:v>high</x:v>
      </x:c>
      <x:c r="G274" s="3" t="str">
        <x:v>OASDK-S2
OASDK-S5</x:v>
      </x:c>
      <x:c r="H274" s="3" t="str">
        <x:v>Sessions and serialized interrupted-run state support cross-request resumption; semantic validity and external storage consistency need application checks.</x:v>
      </x:c>
      <x:c r="I274" s="3" t="str">
        <x:v>https://developers.openai.com/api/docs/guides/agents/running-agents
https://developers.openai.com/api/docs/guides/agents/results</x:v>
      </x:c>
    </x:row>
    <x:row r="275" ht="49.5" customHeight="1">
      <x:c r="A275" s="3" t="str">
        <x:v>OASDK</x:v>
      </x:c>
      <x:c r="B275" s="3" t="str">
        <x:v>OpenAI Agents SDK</x:v>
      </x:c>
      <x:c r="C275" s="3" t="str">
        <x:v>C11</x:v>
      </x:c>
      <x:c r="D275" s="9" t="n">
        <x:v>2</x:v>
      </x:c>
      <x:c r="E275" s="9" t="str">
        <x:v>R</x:v>
      </x:c>
      <x:c r="F275" s="9" t="str">
        <x:v>high</x:v>
      </x:c>
      <x:c r="G275" s="3" t="str">
        <x:v>OASDK-S2
OASDK-S4
OASDK-S5</x:v>
      </x:c>
      <x:c r="H275" s="3" t="str">
        <x:v>Final output, guardrail errors and pending approvals are distinct; rejection resumes the saved run rather than fabricating completion.</x:v>
      </x:c>
      <x:c r="I275" s="3" t="str">
        <x:v>https://developers.openai.com/api/docs/guides/agents/running-agents
https://developers.openai.com/api/docs/guides/agents/guardrails-approvals
https://developers.openai.com/api/docs/guides/agents/results</x:v>
      </x:c>
    </x:row>
    <x:row r="276" ht="49.5" customHeight="1">
      <x:c r="A276" s="3" t="str">
        <x:v>OASDK</x:v>
      </x:c>
      <x:c r="B276" s="3" t="str">
        <x:v>OpenAI Agents SDK</x:v>
      </x:c>
      <x:c r="C276" s="3" t="str">
        <x:v>C12</x:v>
      </x:c>
      <x:c r="D276" s="9" t="n">
        <x:v>1</x:v>
      </x:c>
      <x:c r="E276" s="9" t="str">
        <x:v>G</x:v>
      </x:c>
      <x:c r="F276" s="9" t="str">
        <x:v>medium</x:v>
      </x:c>
      <x:c r="G276" s="3" t="str">
        <x:v>OASDK-S2
OASDK-S5</x:v>
      </x:c>
      <x:c r="H276" s="3" t="str">
        <x:v>Docs warn against mixed continuation/replay and restarting interrupted turns; generic side-effect idempotency or uncertain-effect reconciliation is not established.</x:v>
      </x:c>
      <x:c r="I276" s="3" t="str">
        <x:v>https://developers.openai.com/api/docs/guides/agents/running-agents
https://developers.openai.com/api/docs/guides/agents/results</x:v>
      </x:c>
    </x:row>
    <x:row r="277" ht="49.5" customHeight="1">
      <x:c r="A277" s="3" t="str">
        <x:v>OASDK</x:v>
      </x:c>
      <x:c r="B277" s="3" t="str">
        <x:v>OpenAI Agents SDK</x:v>
      </x:c>
      <x:c r="C277" s="3" t="str">
        <x:v>C13</x:v>
      </x:c>
      <x:c r="D277" s="9" t="n">
        <x:v>2</x:v>
      </x:c>
      <x:c r="E277" s="9" t="str">
        <x:v>R</x:v>
      </x:c>
      <x:c r="F277" s="9" t="str">
        <x:v>high</x:v>
      </x:c>
      <x:c r="G277" s="3" t="str">
        <x:v>OASDK-S4</x:v>
      </x:c>
      <x:c r="H277" s="3" t="str">
        <x:v>Blocking input guards and pre-tool approvals are supported; parallel input guards permit speculative work and output checks occur later.</x:v>
      </x:c>
      <x:c r="I277" s="3" t="str">
        <x:v>https://developers.openai.com/api/docs/guides/agents/guardrails-approvals</x:v>
      </x:c>
    </x:row>
    <x:row r="278" ht="49.5" customHeight="1">
      <x:c r="A278" s="3" t="str">
        <x:v>OASDK</x:v>
      </x:c>
      <x:c r="B278" s="3" t="str">
        <x:v>OpenAI Agents SDK</x:v>
      </x:c>
      <x:c r="C278" s="3" t="str">
        <x:v>C14</x:v>
      </x:c>
      <x:c r="D278" s="9" t="n">
        <x:v>1</x:v>
      </x:c>
      <x:c r="E278" s="9" t="str">
        <x:v>R</x:v>
      </x:c>
      <x:c r="F278" s="9" t="str">
        <x:v>medium</x:v>
      </x:c>
      <x:c r="G278" s="3" t="str">
        <x:v>OASDK-S4
OASDK-S6</x:v>
      </x:c>
      <x:c r="H278" s="3" t="str">
        <x:v>Guard/grader actors can differ; reference/evidence independence is not guaranteed.</x:v>
      </x:c>
      <x:c r="I278" s="3" t="str">
        <x:v>https://developers.openai.com/api/docs/guides/agents/guardrails-approvals
https://developers.openai.com/api/docs/guides/agent-evals</x:v>
      </x:c>
    </x:row>
    <x:row r="279" ht="49.5" customHeight="1">
      <x:c r="A279" s="3" t="str">
        <x:v>OASDK</x:v>
      </x:c>
      <x:c r="B279" s="3" t="str">
        <x:v>OpenAI Agents SDK</x:v>
      </x:c>
      <x:c r="C279" s="3" t="str">
        <x:v>C15</x:v>
      </x:c>
      <x:c r="D279" s="9" t="n">
        <x:v>2</x:v>
      </x:c>
      <x:c r="E279" s="9" t="str">
        <x:v>R</x:v>
      </x:c>
      <x:c r="F279" s="9" t="str">
        <x:v>medium</x:v>
      </x:c>
      <x:c r="G279" s="3" t="str">
        <x:v>OASDK-REF-EVAL
OASDK-EVAL-LIFECYCLE</x:v>
      </x:c>
      <x:c r="H279" s="3" t="str">
        <x:v>Optional Evals API separates generated sample output from human-labelled reference. Fixture independence and faulty-grader controls remain caller-owned; this composition is deprecated with scheduled shutdown, not native SDK qualification.</x:v>
      </x:c>
      <x:c r="I279" s="3" t="str">
        <x:v>https://developers.openai.com/api/docs/guides/evals
https://developers.openai.com/api/docs/deprecations</x:v>
      </x:c>
    </x:row>
    <x:row r="280" ht="49.5" customHeight="1">
      <x:c r="A280" s="3" t="str">
        <x:v>OASDK</x:v>
      </x:c>
      <x:c r="B280" s="3" t="str">
        <x:v>OpenAI Agents SDK</x:v>
      </x:c>
      <x:c r="C280" s="3" t="str">
        <x:v>C16</x:v>
      </x:c>
      <x:c r="D280" s="9" t="n">
        <x:v>1</x:v>
      </x:c>
      <x:c r="E280" s="9" t="str">
        <x:v>R</x:v>
      </x:c>
      <x:c r="F280" s="9" t="str">
        <x:v>high</x:v>
      </x:c>
      <x:c r="G280" s="3" t="str">
        <x:v>OASDK-S4
OASDK-S6</x:v>
      </x:c>
      <x:c r="H280" s="3" t="str">
        <x:v>Validation and tool approval differ; approval does not qualify semantic assessment or acceptance.</x:v>
      </x:c>
      <x:c r="I280" s="3" t="str">
        <x:v>https://developers.openai.com/api/docs/guides/agents/guardrails-approvals
https://developers.openai.com/api/docs/guides/agent-evals</x:v>
      </x:c>
    </x:row>
    <x:row r="281" ht="49.5" customHeight="1">
      <x:c r="A281" s="3" t="str">
        <x:v>OASDK</x:v>
      </x:c>
      <x:c r="B281" s="3" t="str">
        <x:v>OpenAI Agents SDK</x:v>
      </x:c>
      <x:c r="C281" s="3" t="str">
        <x:v>C17</x:v>
      </x:c>
      <x:c r="D281" s="9" t="n">
        <x:v>1</x:v>
      </x:c>
      <x:c r="E281" s="9" t="str">
        <x:v>R</x:v>
      </x:c>
      <x:c r="F281" s="9" t="str">
        <x:v>high</x:v>
      </x:c>
      <x:c r="G281" s="3" t="str">
        <x:v>OASDK-S5
OASDK-S6</x:v>
      </x:c>
      <x:c r="H281" s="3" t="str">
        <x:v>Run items/traces capture evidence; exact subject/basis and verdict scope remain caller supplied.</x:v>
      </x:c>
      <x:c r="I281" s="3" t="str">
        <x:v>https://developers.openai.com/api/docs/guides/agents/results
https://developers.openai.com/api/docs/guides/agent-evals</x:v>
      </x:c>
    </x:row>
    <x:row r="282" ht="49.5" customHeight="1">
      <x:c r="A282" s="3" t="str">
        <x:v>OASDK</x:v>
      </x:c>
      <x:c r="B282" s="3" t="str">
        <x:v>OpenAI Agents SDK</x:v>
      </x:c>
      <x:c r="C282" s="3" t="str">
        <x:v>C18</x:v>
      </x:c>
      <x:c r="D282" s="9" t="n">
        <x:v>2</x:v>
      </x:c>
      <x:c r="E282" s="9" t="str">
        <x:v>R</x:v>
      </x:c>
      <x:c r="F282" s="9" t="str">
        <x:v>medium</x:v>
      </x:c>
      <x:c r="G282" s="3" t="str">
        <x:v>OASDK-S4
OASDK-S6</x:v>
      </x:c>
      <x:c r="H282" s="3" t="str">
        <x:v>Tripwires and repeatable grading support negative/regression paths; changed-basis coverage remains application defined.</x:v>
      </x:c>
      <x:c r="I282" s="3" t="str">
        <x:v>https://developers.openai.com/api/docs/guides/agents/guardrails-approvals
https://developers.openai.com/api/docs/guides/agent-evals</x:v>
      </x:c>
    </x:row>
    <x:row r="283" ht="49.5" customHeight="1">
      <x:c r="A283" s="3" t="str">
        <x:v>OASDK</x:v>
      </x:c>
      <x:c r="B283" s="3" t="str">
        <x:v>OpenAI Agents SDK</x:v>
      </x:c>
      <x:c r="C283" s="3" t="str">
        <x:v>C19</x:v>
      </x:c>
      <x:c r="D283" s="9" t="n">
        <x:v>3</x:v>
      </x:c>
      <x:c r="E283" s="9" t="str">
        <x:v>G</x:v>
      </x:c>
      <x:c r="F283" s="9" t="str">
        <x:v>high</x:v>
      </x:c>
      <x:c r="G283" s="3" t="str">
        <x:v>OASDK-S1</x:v>
      </x:c>
      <x:c r="H283" s="3" t="str">
        <x:v>Official entry guide and explicit capability reading paths expose a supported code-first onboarding route.</x:v>
      </x:c>
      <x:c r="I283" s="3" t="str">
        <x:v>https://developers.openai.com/api/docs/guides/agents/sdk</x:v>
      </x:c>
    </x:row>
    <x:row r="284" ht="49.5" customHeight="1">
      <x:c r="A284" s="3" t="str">
        <x:v>OASDK</x:v>
      </x:c>
      <x:c r="B284" s="3" t="str">
        <x:v>OpenAI Agents SDK</x:v>
      </x:c>
      <x:c r="C284" s="3" t="str">
        <x:v>C20</x:v>
      </x:c>
      <x:c r="D284" s="9" t="n">
        <x:v>2</x:v>
      </x:c>
      <x:c r="E284" s="9" t="str">
        <x:v>R</x:v>
      </x:c>
      <x:c r="F284" s="9" t="str">
        <x:v>medium</x:v>
      </x:c>
      <x:c r="G284" s="3" t="str">
        <x:v>OASDK-S1
OASDK-S3</x:v>
      </x:c>
      <x:c r="H284" s="3" t="str">
        <x:v>Reusable typed agent/tool definitions and specialist configurations are native; portable source-backed method packages are not established in this source set.</x:v>
      </x:c>
      <x:c r="I284" s="3" t="str">
        <x:v>https://developers.openai.com/api/docs/guides/agents/sdk
https://developers.openai.com/api/docs/guides/agents/orchestration</x:v>
      </x:c>
    </x:row>
    <x:row r="285" ht="49.5" customHeight="1">
      <x:c r="A285" s="3" t="str">
        <x:v>OASDK</x:v>
      </x:c>
      <x:c r="B285" s="3" t="str">
        <x:v>OpenAI Agents SDK</x:v>
      </x:c>
      <x:c r="C285" s="3" t="str">
        <x:v>C21</x:v>
      </x:c>
      <x:c r="D285" s="9" t="n">
        <x:v>2</x:v>
      </x:c>
      <x:c r="E285" s="9" t="str">
        <x:v>R</x:v>
      </x:c>
      <x:c r="F285" s="9" t="str">
        <x:v>high</x:v>
      </x:c>
      <x:c r="G285" s="3" t="str">
        <x:v>OASDK-S6
OASDK-EVAL-LIFECYCLE</x:v>
      </x:c>
      <x:c r="H285" s="3" t="str">
        <x:v>SDK trace/evaluation integration is composed. The cited Evals platform becomes read-only 2026-10-31 and is scheduled to shut down 2026-11-30; no SDK deprecation is inferred.</x:v>
      </x:c>
      <x:c r="I285" s="3" t="str">
        <x:v>https://developers.openai.com/api/docs/guides/agent-evals
https://developers.openai.com/api/docs/deprecations</x:v>
      </x:c>
    </x:row>
    <x:row r="286" ht="49.5" customHeight="1">
      <x:c r="A286" s="3" t="str">
        <x:v>OASDK</x:v>
      </x:c>
      <x:c r="B286" s="3" t="str">
        <x:v>OpenAI Agents SDK</x:v>
      </x:c>
      <x:c r="C286" s="3" t="str">
        <x:v>C22</x:v>
      </x:c>
      <x:c r="D286" s="9" t="n">
        <x:v>1</x:v>
      </x:c>
      <x:c r="E286" s="9" t="str">
        <x:v>R</x:v>
      </x:c>
      <x:c r="F286" s="9" t="str">
        <x:v>medium</x:v>
      </x:c>
      <x:c r="G286" s="3" t="str">
        <x:v>OASDK-S5
OASDK-S6</x:v>
      </x:c>
      <x:c r="H286" s="3" t="str">
        <x:v>Results expose usage details and traces record steps; complete token semantics, delegation totals and critical-path accounting remain insufficiently documented here.</x:v>
      </x:c>
      <x:c r="I286" s="3" t="str">
        <x:v>https://developers.openai.com/api/docs/guides/agents/results
https://developers.openai.com/api/docs/guides/agent-evals</x:v>
      </x:c>
    </x:row>
    <x:row r="287" ht="49.5" customHeight="1">
      <x:c r="A287" s="3" t="str">
        <x:v>OASDK</x:v>
      </x:c>
      <x:c r="B287" s="3" t="str">
        <x:v>OpenAI Agents SDK</x:v>
      </x:c>
      <x:c r="C287" s="3" t="str">
        <x:v>C23</x:v>
      </x:c>
      <x:c r="D287" s="9" t="str">
        <x:v>U</x:v>
      </x:c>
      <x:c r="E287" s="9" t="str">
        <x:v>U</x:v>
      </x:c>
      <x:c r="F287" s="9" t="str">
        <x:v>low</x:v>
      </x:c>
      <x:c r="G287" s="3" t="str">
        <x:v>OASDK-S6</x:v>
      </x:c>
      <x:c r="H287" s="3" t="str">
        <x:v>Evaluation capability provides no measured SDK effectiveness or matched comparison.</x:v>
      </x:c>
      <x:c r="I287" s="3" t="str">
        <x:v>https://developers.openai.com/api/docs/guides/agent-evals</x:v>
      </x:c>
    </x:row>
    <x:row r="288" ht="49.5" customHeight="1">
      <x:c r="A288" s="3" t="str">
        <x:v>OASDK</x:v>
      </x:c>
      <x:c r="B288" s="3" t="str">
        <x:v>OpenAI Agents SDK</x:v>
      </x:c>
      <x:c r="C288" s="3" t="str">
        <x:v>C24</x:v>
      </x:c>
      <x:c r="D288" s="9" t="str">
        <x:v>U</x:v>
      </x:c>
      <x:c r="E288" s="9" t="str">
        <x:v>U</x:v>
      </x:c>
      <x:c r="F288" s="9" t="str">
        <x:v>low</x:v>
      </x:c>
      <x:c r="G288" s="3" t="str">
        <x:v>OASDK-S1
OASDK-S6</x:v>
      </x:c>
      <x:c r="H288" s="3" t="str">
        <x:v>Examples and graders do not qualify fresh-actor method fidelity or faulty-guidance/oracle controls.</x:v>
      </x:c>
      <x:c r="I288" s="3" t="str">
        <x:v>https://developers.openai.com/api/docs/guides/agents/sdk
https://developers.openai.com/api/docs/guides/agent-evals</x:v>
      </x:c>
    </x:row>
    <x:row r="289" ht="49.5" customHeight="1">
      <x:c r="A289" s="3" t="str">
        <x:v>OASDK</x:v>
      </x:c>
      <x:c r="B289" s="3" t="str">
        <x:v>OpenAI Agents SDK</x:v>
      </x:c>
      <x:c r="C289" s="3" t="str">
        <x:v>C25</x:v>
      </x:c>
      <x:c r="D289" s="9" t="n">
        <x:v>1</x:v>
      </x:c>
      <x:c r="E289" s="9" t="str">
        <x:v>R</x:v>
      </x:c>
      <x:c r="F289" s="9" t="str">
        <x:v>medium</x:v>
      </x:c>
      <x:c r="G289" s="3" t="str">
        <x:v>OASDK-S4</x:v>
      </x:c>
      <x:c r="H289" s="3" t="str">
        <x:v>Application-supplied input/tool/output guardrails can filter data; retrieved-instruction authority and secret/egress policy remain caller owned. Parallel checks may allow speculative work.</x:v>
      </x:c>
      <x:c r="I289" s="3" t="str">
        <x:v>https://developers.openai.com/api/docs/guides/agents/guardrails-approvals</x:v>
      </x:c>
    </x:row>
    <x:row r="290" ht="49.5" customHeight="1">
      <x:c r="A290" s="3" t="str">
        <x:v>OASDK</x:v>
      </x:c>
      <x:c r="B290" s="3" t="str">
        <x:v>OpenAI Agents SDK</x:v>
      </x:c>
      <x:c r="C290" s="3" t="str">
        <x:v>C26</x:v>
      </x:c>
      <x:c r="D290" s="9" t="n">
        <x:v>1</x:v>
      </x:c>
      <x:c r="E290" s="9" t="str">
        <x:v>R</x:v>
      </x:c>
      <x:c r="F290" s="9" t="str">
        <x:v>high</x:v>
      </x:c>
      <x:c r="G290" s="3" t="str">
        <x:v>OASDK-S2
OASDK-S5</x:v>
      </x:c>
      <x:c r="H290" s="3" t="str">
        <x:v>Runner turn-limit failures and stream cancellation/resumption are documented; complete delegated spend/token/runtime bounds and effect rollback on cancellation are not established.</x:v>
      </x:c>
      <x:c r="I290" s="3" t="str">
        <x:v>https://developers.openai.com/api/docs/guides/agents/running-agents
https://developers.openai.com/api/docs/guides/agents/results</x:v>
      </x:c>
    </x:row>
    <x:row r="291" ht="49.5" customHeight="1">
      <x:c r="A291" s="3" t="str">
        <x:v>CASDK</x:v>
      </x:c>
      <x:c r="B291" s="3" t="str">
        <x:v>Anthropic Claude Agent SDK</x:v>
      </x:c>
      <x:c r="C291" s="3" t="str">
        <x:v>C01</x:v>
      </x:c>
      <x:c r="D291" s="9" t="n">
        <x:v>2</x:v>
      </x:c>
      <x:c r="E291" s="9" t="str">
        <x:v>G</x:v>
      </x:c>
      <x:c r="F291" s="9" t="str">
        <x:v>high</x:v>
      </x:c>
      <x:c r="G291" s="3" t="str">
        <x:v>CASDK-S1</x:v>
      </x:c>
      <x:c r="H291" s="3" t="str">
        <x:v>SDK runs the coding agent in an application-owned process; task outcomes and success/exclusion contracts remain application supplied.</x:v>
      </x:c>
      <x:c r="I291" s="3" t="str">
        <x:v>https://code.claude.com/docs/en/agent-sdk/overview</x:v>
      </x:c>
    </x:row>
    <x:row r="292" ht="49.5" customHeight="1">
      <x:c r="A292" s="3" t="str">
        <x:v>CASDK</x:v>
      </x:c>
      <x:c r="B292" s="3" t="str">
        <x:v>Anthropic Claude Agent SDK</x:v>
      </x:c>
      <x:c r="C292" s="3" t="str">
        <x:v>C02</x:v>
      </x:c>
      <x:c r="D292" s="9" t="str">
        <x:v>U</x:v>
      </x:c>
      <x:c r="E292" s="9" t="str">
        <x:v>U</x:v>
      </x:c>
      <x:c r="F292" s="9" t="str">
        <x:v>low</x:v>
      </x:c>
      <x:c r="G292" s="3" t="str">
        <x:v>CASDK-S1</x:v>
      </x:c>
      <x:c r="H292" s="3" t="str">
        <x:v>Built-in coding tools and instructions do not establish a requirements/realization traceability method.</x:v>
      </x:c>
      <x:c r="I292" s="3" t="str">
        <x:v>https://code.claude.com/docs/en/agent-sdk/overview</x:v>
      </x:c>
    </x:row>
    <x:row r="293" ht="49.5" customHeight="1">
      <x:c r="A293" s="3" t="str">
        <x:v>CASDK</x:v>
      </x:c>
      <x:c r="B293" s="3" t="str">
        <x:v>Anthropic Claude Agent SDK</x:v>
      </x:c>
      <x:c r="C293" s="3" t="str">
        <x:v>C03</x:v>
      </x:c>
      <x:c r="D293" s="9" t="n">
        <x:v>1</x:v>
      </x:c>
      <x:c r="E293" s="9" t="str">
        <x:v>R</x:v>
      </x:c>
      <x:c r="F293" s="9" t="str">
        <x:v>high</x:v>
      </x:c>
      <x:c r="G293" s="3" t="str">
        <x:v>CASDK-S3</x:v>
      </x:c>
      <x:c r="H293" s="3" t="str">
        <x:v>Session identity, transcript history and filesystem effects are distinguishable; semantic subject interpretation is not specified by their IDs.</x:v>
      </x:c>
      <x:c r="I293" s="3" t="str">
        <x:v>https://code.claude.com/docs/en/agent-sdk/sessions</x:v>
      </x:c>
    </x:row>
    <x:row r="294" ht="49.5" customHeight="1">
      <x:c r="A294" s="3" t="str">
        <x:v>CASDK</x:v>
      </x:c>
      <x:c r="B294" s="3" t="str">
        <x:v>Anthropic Claude Agent SDK</x:v>
      </x:c>
      <x:c r="C294" s="3" t="str">
        <x:v>C04</x:v>
      </x:c>
      <x:c r="D294" s="9" t="str">
        <x:v>U</x:v>
      </x:c>
      <x:c r="E294" s="9" t="str">
        <x:v>U</x:v>
      </x:c>
      <x:c r="F294" s="9" t="str">
        <x:v>low</x:v>
      </x:c>
      <x:c r="G294" s="3" t="str">
        <x:v>CASDK-S4</x:v>
      </x:c>
      <x:c r="H294" s="3" t="str">
        <x:v>Specialist results and inherited rules do not establish constraint/failure/missing-obligation conservation at semantic joins.</x:v>
      </x:c>
      <x:c r="I294" s="3" t="str">
        <x:v>https://code.claude.com/docs/en/agent-sdk/subagents</x:v>
      </x:c>
    </x:row>
    <x:row r="295" ht="49.5" customHeight="1">
      <x:c r="A295" s="3" t="str">
        <x:v>CASDK</x:v>
      </x:c>
      <x:c r="B295" s="3" t="str">
        <x:v>Anthropic Claude Agent SDK</x:v>
      </x:c>
      <x:c r="C295" s="3" t="str">
        <x:v>C05</x:v>
      </x:c>
      <x:c r="D295" s="9" t="str">
        <x:v>U</x:v>
      </x:c>
      <x:c r="E295" s="9" t="str">
        <x:v>U</x:v>
      </x:c>
      <x:c r="F295" s="9" t="str">
        <x:v>low</x:v>
      </x:c>
      <x:c r="G295" s="3" t="str">
        <x:v>CASDK-S3</x:v>
      </x:c>
      <x:c r="H295" s="3" t="str">
        <x:v>Resume/fork preserve conversational context; selective support invalidation under changed requirements is not established.</x:v>
      </x:c>
      <x:c r="I295" s="3" t="str">
        <x:v>https://code.claude.com/docs/en/agent-sdk/sessions</x:v>
      </x:c>
    </x:row>
    <x:row r="296" ht="49.5" customHeight="1">
      <x:c r="A296" s="3" t="str">
        <x:v>CASDK</x:v>
      </x:c>
      <x:c r="B296" s="3" t="str">
        <x:v>Anthropic Claude Agent SDK</x:v>
      </x:c>
      <x:c r="C296" s="3" t="str">
        <x:v>C06</x:v>
      </x:c>
      <x:c r="D296" s="9" t="str">
        <x:v>NA</x:v>
      </x:c>
      <x:c r="E296" s="9" t="str">
        <x:v>G</x:v>
      </x:c>
      <x:c r="F296" s="9" t="str">
        <x:v>high</x:v>
      </x:c>
      <x:c r="G296" s="3" t="str">
        <x:v>CASDK-S1</x:v>
      </x:c>
      <x:c r="H296" s="3" t="str">
        <x:v>Constructed-product qualification/adoption remain the application/product owner's governance responsibility, beyond the SDK purpose.</x:v>
      </x:c>
      <x:c r="I296" s="3" t="str">
        <x:v>https://code.claude.com/docs/en/agent-sdk/overview</x:v>
      </x:c>
    </x:row>
    <x:row r="297" ht="49.5" customHeight="1">
      <x:c r="A297" s="3" t="str">
        <x:v>CASDK</x:v>
      </x:c>
      <x:c r="B297" s="3" t="str">
        <x:v>Anthropic Claude Agent SDK</x:v>
      </x:c>
      <x:c r="C297" s="3" t="str">
        <x:v>C07</x:v>
      </x:c>
      <x:c r="D297" s="9" t="n">
        <x:v>2</x:v>
      </x:c>
      <x:c r="E297" s="9" t="str">
        <x:v>R</x:v>
      </x:c>
      <x:c r="F297" s="9" t="str">
        <x:v>high</x:v>
      </x:c>
      <x:c r="G297" s="3" t="str">
        <x:v>CASDK-S1
CASDK-S4</x:v>
      </x:c>
      <x:c r="H297" s="3" t="str">
        <x:v>Scoped tools and isolated specialist histories select context; current default project/user feature loading prevents assuming an ambient-free prompt.</x:v>
      </x:c>
      <x:c r="I297" s="3" t="str">
        <x:v>https://code.claude.com/docs/en/agent-sdk/overview
https://code.claude.com/docs/en/agent-sdk/subagents</x:v>
      </x:c>
    </x:row>
    <x:row r="298" ht="49.5" customHeight="1">
      <x:c r="A298" s="3" t="str">
        <x:v>CASDK</x:v>
      </x:c>
      <x:c r="B298" s="3" t="str">
        <x:v>Anthropic Claude Agent SDK</x:v>
      </x:c>
      <x:c r="C298" s="3" t="str">
        <x:v>C08</x:v>
      </x:c>
      <x:c r="D298" s="9" t="n">
        <x:v>1</x:v>
      </x:c>
      <x:c r="E298" s="9" t="str">
        <x:v>R</x:v>
      </x:c>
      <x:c r="F298" s="9" t="str">
        <x:v>high</x:v>
      </x:c>
      <x:c r="G298" s="3" t="str">
        <x:v>CASDK-S3
CASDK-S4
CASDK-S6</x:v>
      </x:c>
      <x:c r="H298" s="3" t="str">
        <x:v>Turn, depth, concurrency and spend limits bound work; they do not count all required context or guarantee cannot-fit refusal.</x:v>
      </x:c>
      <x:c r="I298" s="3" t="str">
        <x:v>https://code.claude.com/docs/en/agent-sdk/sessions
https://code.claude.com/docs/en/agent-sdk/subagents
https://code.claude.com/docs/en/agent-sdk/cost-tracking</x:v>
      </x:c>
    </x:row>
    <x:row r="299" ht="49.5" customHeight="1">
      <x:c r="A299" s="3" t="str">
        <x:v>CASDK</x:v>
      </x:c>
      <x:c r="B299" s="3" t="str">
        <x:v>Anthropic Claude Agent SDK</x:v>
      </x:c>
      <x:c r="C299" s="3" t="str">
        <x:v>C09</x:v>
      </x:c>
      <x:c r="D299" s="9" t="n">
        <x:v>2</x:v>
      </x:c>
      <x:c r="E299" s="9" t="str">
        <x:v>R</x:v>
      </x:c>
      <x:c r="F299" s="9" t="str">
        <x:v>high</x:v>
      </x:c>
      <x:c r="G299" s="3" t="str">
        <x:v>CASDK-S4</x:v>
      </x:c>
      <x:c r="H299" s="3" t="str">
        <x:v>Programmatic specialist definitions, isolated conversations, limits and final-message parent return support bounded delegation.</x:v>
      </x:c>
      <x:c r="I299" s="3" t="str">
        <x:v>https://code.claude.com/docs/en/agent-sdk/subagents</x:v>
      </x:c>
    </x:row>
    <x:row r="300" ht="49.5" customHeight="1">
      <x:c r="A300" s="3" t="str">
        <x:v>CASDK</x:v>
      </x:c>
      <x:c r="B300" s="3" t="str">
        <x:v>Anthropic Claude Agent SDK</x:v>
      </x:c>
      <x:c r="C300" s="3" t="str">
        <x:v>C10</x:v>
      </x:c>
      <x:c r="D300" s="9" t="n">
        <x:v>2</x:v>
      </x:c>
      <x:c r="E300" s="9" t="str">
        <x:v>R</x:v>
      </x:c>
      <x:c r="F300" s="9" t="str">
        <x:v>high</x:v>
      </x:c>
      <x:c r="G300" s="3" t="str">
        <x:v>CASDK-S3</x:v>
      </x:c>
      <x:c r="H300" s="3" t="str">
        <x:v>Local transcripts and optional external stores resume across hosts; restored history does not independently validate changed subject state.</x:v>
      </x:c>
      <x:c r="I300" s="3" t="str">
        <x:v>https://code.claude.com/docs/en/agent-sdk/sessions</x:v>
      </x:c>
    </x:row>
    <x:row r="301" ht="49.5" customHeight="1">
      <x:c r="A301" s="3" t="str">
        <x:v>CASDK</x:v>
      </x:c>
      <x:c r="B301" s="3" t="str">
        <x:v>Anthropic Claude Agent SDK</x:v>
      </x:c>
      <x:c r="C301" s="3" t="str">
        <x:v>C11</x:v>
      </x:c>
      <x:c r="D301" s="9" t="n">
        <x:v>2</x:v>
      </x:c>
      <x:c r="E301" s="9" t="str">
        <x:v>R</x:v>
      </x:c>
      <x:c r="F301" s="9" t="str">
        <x:v>high</x:v>
      </x:c>
      <x:c r="G301" s="3" t="str">
        <x:v>CASDK-S2
CASDK-S3</x:v>
      </x:c>
      <x:c r="H301" s="3" t="str">
        <x:v>Permission denial and limit/error result subtypes distinguish unfinished work; semantic success/unknown must be defined by the application.</x:v>
      </x:c>
      <x:c r="I301" s="3" t="str">
        <x:v>https://code.claude.com/docs/en/agent-sdk/permissions
https://code.claude.com/docs/en/agent-sdk/sessions</x:v>
      </x:c>
    </x:row>
    <x:row r="302" ht="49.5" customHeight="1">
      <x:c r="A302" s="3" t="str">
        <x:v>CASDK</x:v>
      </x:c>
      <x:c r="B302" s="3" t="str">
        <x:v>Anthropic Claude Agent SDK</x:v>
      </x:c>
      <x:c r="C302" s="3" t="str">
        <x:v>C12</x:v>
      </x:c>
      <x:c r="D302" s="9" t="n">
        <x:v>1</x:v>
      </x:c>
      <x:c r="E302" s="9" t="str">
        <x:v>R</x:v>
      </x:c>
      <x:c r="F302" s="9" t="str">
        <x:v>high</x:v>
      </x:c>
      <x:c r="G302" s="3" t="str">
        <x:v>CASDK-S3</x:v>
      </x:c>
      <x:c r="H302" s="3" t="str">
        <x:v>Session forks duplicate history but share real filesystem effects; generic unresolved-effect reconciliation or idempotency is not established.</x:v>
      </x:c>
      <x:c r="I302" s="3" t="str">
        <x:v>https://code.claude.com/docs/en/agent-sdk/sessions</x:v>
      </x:c>
    </x:row>
    <x:row r="303" ht="49.5" customHeight="1">
      <x:c r="A303" s="3" t="str">
        <x:v>CASDK</x:v>
      </x:c>
      <x:c r="B303" s="3" t="str">
        <x:v>Anthropic Claude Agent SDK</x:v>
      </x:c>
      <x:c r="C303" s="3" t="str">
        <x:v>C13</x:v>
      </x:c>
      <x:c r="D303" s="9" t="n">
        <x:v>3</x:v>
      </x:c>
      <x:c r="E303" s="9" t="str">
        <x:v>R</x:v>
      </x:c>
      <x:c r="F303" s="9" t="str">
        <x:v>high</x:v>
      </x:c>
      <x:c r="G303" s="3" t="str">
        <x:v>CASDK-S2
CASDK-S5</x:v>
      </x:c>
      <x:c r="H303" s="3" t="str">
        <x:v>Pre-tool hooks, deny rules and runtime approval callbacks gate effects; allow lists alone do not constrain bypass mode.</x:v>
      </x:c>
      <x:c r="I303" s="3" t="str">
        <x:v>https://code.claude.com/docs/en/agent-sdk/permissions
https://code.claude.com/docs/en/agent-sdk/hooks</x:v>
      </x:c>
    </x:row>
    <x:row r="304" ht="49.5" customHeight="1">
      <x:c r="A304" s="3" t="str">
        <x:v>CASDK</x:v>
      </x:c>
      <x:c r="B304" s="3" t="str">
        <x:v>Anthropic Claude Agent SDK</x:v>
      </x:c>
      <x:c r="C304" s="3" t="str">
        <x:v>C14</x:v>
      </x:c>
      <x:c r="D304" s="9" t="n">
        <x:v>1</x:v>
      </x:c>
      <x:c r="E304" s="9" t="str">
        <x:v>R</x:v>
      </x:c>
      <x:c r="F304" s="9" t="str">
        <x:v>medium</x:v>
      </x:c>
      <x:c r="G304" s="3" t="str">
        <x:v>CASDK-S4</x:v>
      </x:c>
      <x:c r="H304" s="3" t="str">
        <x:v>Separate review agents can isolate reasoning; a reviewer configuration does not qualify independent references or semantic assessment.</x:v>
      </x:c>
      <x:c r="I304" s="3" t="str">
        <x:v>https://code.claude.com/docs/en/agent-sdk/subagents</x:v>
      </x:c>
    </x:row>
    <x:row r="305" ht="49.5" customHeight="1">
      <x:c r="A305" s="3" t="str">
        <x:v>CASDK</x:v>
      </x:c>
      <x:c r="B305" s="3" t="str">
        <x:v>Anthropic Claude Agent SDK</x:v>
      </x:c>
      <x:c r="C305" s="3" t="str">
        <x:v>C15</x:v>
      </x:c>
      <x:c r="D305" s="9" t="str">
        <x:v>U</x:v>
      </x:c>
      <x:c r="E305" s="9" t="str">
        <x:v>U</x:v>
      </x:c>
      <x:c r="F305" s="9" t="str">
        <x:v>low</x:v>
      </x:c>
      <x:c r="G305" s="3" t="str">
        <x:v>CASDK-S1
CASDK-S5</x:v>
      </x:c>
      <x:c r="H305" s="3" t="str">
        <x:v>Hook validation and tool execution do not establish candidate-independent expected outcomes or faulty-checker controls.</x:v>
      </x:c>
      <x:c r="I305" s="3" t="str">
        <x:v>https://code.claude.com/docs/en/agent-sdk/overview
https://code.claude.com/docs/en/agent-sdk/hooks</x:v>
      </x:c>
    </x:row>
    <x:row r="306" ht="49.5" customHeight="1">
      <x:c r="A306" s="3" t="str">
        <x:v>CASDK</x:v>
      </x:c>
      <x:c r="B306" s="3" t="str">
        <x:v>Anthropic Claude Agent SDK</x:v>
      </x:c>
      <x:c r="C306" s="3" t="str">
        <x:v>C16</x:v>
      </x:c>
      <x:c r="D306" s="9" t="n">
        <x:v>1</x:v>
      </x:c>
      <x:c r="E306" s="9" t="str">
        <x:v>R</x:v>
      </x:c>
      <x:c r="F306" s="9" t="str">
        <x:v>high</x:v>
      </x:c>
      <x:c r="G306" s="3" t="str">
        <x:v>CASDK-S2
CASDK-S5</x:v>
      </x:c>
      <x:c r="H306" s="3" t="str">
        <x:v>Permission decisions and validation callbacks are distinct surfaces; semantic claim judgment and owner acceptance remain application relations.</x:v>
      </x:c>
      <x:c r="I306" s="3" t="str">
        <x:v>https://code.claude.com/docs/en/agent-sdk/permissions
https://code.claude.com/docs/en/agent-sdk/hooks</x:v>
      </x:c>
    </x:row>
    <x:row r="307" ht="49.5" customHeight="1">
      <x:c r="A307" s="3" t="str">
        <x:v>CASDK</x:v>
      </x:c>
      <x:c r="B307" s="3" t="str">
        <x:v>Anthropic Claude Agent SDK</x:v>
      </x:c>
      <x:c r="C307" s="3" t="str">
        <x:v>C17</x:v>
      </x:c>
      <x:c r="D307" s="9" t="n">
        <x:v>1</x:v>
      </x:c>
      <x:c r="E307" s="9" t="str">
        <x:v>R</x:v>
      </x:c>
      <x:c r="F307" s="9" t="str">
        <x:v>high</x:v>
      </x:c>
      <x:c r="G307" s="3" t="str">
        <x:v>CASDK-S3
CASDK-S5</x:v>
      </x:c>
      <x:c r="H307" s="3" t="str">
        <x:v>Session/tool identities, transcripts and audit hooks capture evidence; exact subject/basis binding and verdict scope need application design.</x:v>
      </x:c>
      <x:c r="I307" s="3" t="str">
        <x:v>https://code.claude.com/docs/en/agent-sdk/sessions
https://code.claude.com/docs/en/agent-sdk/hooks</x:v>
      </x:c>
    </x:row>
    <x:row r="308" ht="49.5" customHeight="1">
      <x:c r="A308" s="3" t="str">
        <x:v>CASDK</x:v>
      </x:c>
      <x:c r="B308" s="3" t="str">
        <x:v>Anthropic Claude Agent SDK</x:v>
      </x:c>
      <x:c r="C308" s="3" t="str">
        <x:v>C18</x:v>
      </x:c>
      <x:c r="D308" s="9" t="n">
        <x:v>1</x:v>
      </x:c>
      <x:c r="E308" s="9" t="str">
        <x:v>R</x:v>
      </x:c>
      <x:c r="F308" s="9" t="str">
        <x:v>high</x:v>
      </x:c>
      <x:c r="G308" s="3" t="str">
        <x:v>CASDK-S5</x:v>
      </x:c>
      <x:c r="H308" s="3" t="str">
        <x:v>Failure hooks and denied-tool examples support negative handling; comprehensive regression and changed-basis evaluation are not established.</x:v>
      </x:c>
      <x:c r="I308" s="3" t="str">
        <x:v>https://code.claude.com/docs/en/agent-sdk/hooks</x:v>
      </x:c>
    </x:row>
    <x:row r="309" ht="49.5" customHeight="1">
      <x:c r="A309" s="3" t="str">
        <x:v>CASDK</x:v>
      </x:c>
      <x:c r="B309" s="3" t="str">
        <x:v>Anthropic Claude Agent SDK</x:v>
      </x:c>
      <x:c r="C309" s="3" t="str">
        <x:v>C19</x:v>
      </x:c>
      <x:c r="D309" s="9" t="n">
        <x:v>3</x:v>
      </x:c>
      <x:c r="E309" s="9" t="str">
        <x:v>G</x:v>
      </x:c>
      <x:c r="F309" s="9" t="str">
        <x:v>high</x:v>
      </x:c>
      <x:c r="G309" s="3" t="str">
        <x:v>CASDK-S1</x:v>
      </x:c>
      <x:c r="H309" s="3" t="str">
        <x:v>SDK purpose, ownership comparison and supported quickstart route are explicit for ordinary Python/TypeScript users.</x:v>
      </x:c>
      <x:c r="I309" s="3" t="str">
        <x:v>https://code.claude.com/docs/en/agent-sdk/overview</x:v>
      </x:c>
    </x:row>
    <x:row r="310" ht="49.5" customHeight="1">
      <x:c r="A310" s="3" t="str">
        <x:v>CASDK</x:v>
      </x:c>
      <x:c r="B310" s="3" t="str">
        <x:v>Anthropic Claude Agent SDK</x:v>
      </x:c>
      <x:c r="C310" s="3" t="str">
        <x:v>C20</x:v>
      </x:c>
      <x:c r="D310" s="9" t="n">
        <x:v>3</x:v>
      </x:c>
      <x:c r="E310" s="9" t="str">
        <x:v>R</x:v>
      </x:c>
      <x:c r="F310" s="9" t="str">
        <x:v>high</x:v>
      </x:c>
      <x:c r="G310" s="3" t="str">
        <x:v>CASDK-S1
CASDK-S4</x:v>
      </x:c>
      <x:c r="H310" s="3" t="str">
        <x:v>Native skills, commands, memory, plugins and filesystem agent definitions reuse source-backed context; current defaults load project/user configuration.</x:v>
      </x:c>
      <x:c r="I310" s="3" t="str">
        <x:v>https://code.claude.com/docs/en/agent-sdk/overview
https://code.claude.com/docs/en/agent-sdk/subagents</x:v>
      </x:c>
    </x:row>
    <x:row r="311" ht="49.5" customHeight="1">
      <x:c r="A311" s="3" t="str">
        <x:v>CASDK</x:v>
      </x:c>
      <x:c r="B311" s="3" t="str">
        <x:v>Anthropic Claude Agent SDK</x:v>
      </x:c>
      <x:c r="C311" s="3" t="str">
        <x:v>C21</x:v>
      </x:c>
      <x:c r="D311" s="9" t="n">
        <x:v>1</x:v>
      </x:c>
      <x:c r="E311" s="9" t="str">
        <x:v>R</x:v>
      </x:c>
      <x:c r="F311" s="9" t="str">
        <x:v>high</x:v>
      </x:c>
      <x:c r="G311" s="3" t="str">
        <x:v>CASDK-S5</x:v>
      </x:c>
      <x:c r="H311" s="3" t="str">
        <x:v>Lifecycle/tool hooks support monitoring and repair wiring; a reproducible agent-quality evaluation workflow is not established by these SDK pages.</x:v>
      </x:c>
      <x:c r="I311" s="3" t="str">
        <x:v>https://code.claude.com/docs/en/agent-sdk/hooks</x:v>
      </x:c>
    </x:row>
    <x:row r="312" ht="49.5" customHeight="1">
      <x:c r="A312" s="3" t="str">
        <x:v>CASDK</x:v>
      </x:c>
      <x:c r="B312" s="3" t="str">
        <x:v>Anthropic Claude Agent SDK</x:v>
      </x:c>
      <x:c r="C312" s="3" t="str">
        <x:v>C22</x:v>
      </x:c>
      <x:c r="D312" s="9" t="n">
        <x:v>2</x:v>
      </x:c>
      <x:c r="E312" s="9" t="str">
        <x:v>R</x:v>
      </x:c>
      <x:c r="F312" s="9" t="str">
        <x:v>high</x:v>
      </x:c>
      <x:c r="G312" s="3" t="str">
        <x:v>CASDK-S6</x:v>
      </x:c>
      <x:c r="H312" s="3" t="str">
        <x:v>Whole-tree modelUsage and durations complement parent-only usage; output placeholders, cumulative resumed spend and estimated USD require careful accounting.</x:v>
      </x:c>
      <x:c r="I312" s="3" t="str">
        <x:v>https://code.claude.com/docs/en/agent-sdk/cost-tracking</x:v>
      </x:c>
    </x:row>
    <x:row r="313" ht="49.5" customHeight="1">
      <x:c r="A313" s="3" t="str">
        <x:v>CASDK</x:v>
      </x:c>
      <x:c r="B313" s="3" t="str">
        <x:v>Anthropic Claude Agent SDK</x:v>
      </x:c>
      <x:c r="C313" s="3" t="str">
        <x:v>C23</x:v>
      </x:c>
      <x:c r="D313" s="9" t="str">
        <x:v>U</x:v>
      </x:c>
      <x:c r="E313" s="9" t="str">
        <x:v>U</x:v>
      </x:c>
      <x:c r="F313" s="9" t="str">
        <x:v>low</x:v>
      </x:c>
      <x:c r="G313" s="3" t="str">
        <x:v>CASDK-S1
CASDK-S6</x:v>
      </x:c>
      <x:c r="H313" s="3" t="str">
        <x:v>Mechanism and accounting documentation provide no scoped measured SDK effectiveness or matched framework comparison.</x:v>
      </x:c>
      <x:c r="I313" s="3" t="str">
        <x:v>https://code.claude.com/docs/en/agent-sdk/overview
https://code.claude.com/docs/en/agent-sdk/cost-tracking</x:v>
      </x:c>
    </x:row>
    <x:row r="314" ht="49.5" customHeight="1">
      <x:c r="A314" s="3" t="str">
        <x:v>CASDK</x:v>
      </x:c>
      <x:c r="B314" s="3" t="str">
        <x:v>Anthropic Claude Agent SDK</x:v>
      </x:c>
      <x:c r="C314" s="3" t="str">
        <x:v>C24</x:v>
      </x:c>
      <x:c r="D314" s="9" t="str">
        <x:v>U</x:v>
      </x:c>
      <x:c r="E314" s="9" t="str">
        <x:v>U</x:v>
      </x:c>
      <x:c r="F314" s="9" t="str">
        <x:v>low</x:v>
      </x:c>
      <x:c r="G314" s="3" t="str">
        <x:v>CASDK-S1
CASDK-S5</x:v>
      </x:c>
      <x:c r="H314" s="3" t="str">
        <x:v>SDK examples and hook tests do not establish fresh-actor method fidelity with faulty-guidance/oracle controls.</x:v>
      </x:c>
      <x:c r="I314" s="3" t="str">
        <x:v>https://code.claude.com/docs/en/agent-sdk/overview
https://code.claude.com/docs/en/agent-sdk/hooks</x:v>
      </x:c>
    </x:row>
    <x:row r="315" ht="49.5" customHeight="1">
      <x:c r="A315" s="3" t="str">
        <x:v>CASDK</x:v>
      </x:c>
      <x:c r="B315" s="3" t="str">
        <x:v>Anthropic Claude Agent SDK</x:v>
      </x:c>
      <x:c r="C315" s="3" t="str">
        <x:v>C25</x:v>
      </x:c>
      <x:c r="D315" s="9" t="n">
        <x:v>1</x:v>
      </x:c>
      <x:c r="E315" s="9" t="str">
        <x:v>R</x:v>
      </x:c>
      <x:c r="F315" s="9" t="str">
        <x:v>medium</x:v>
      </x:c>
      <x:c r="G315" s="3" t="str">
        <x:v>CASDK-S1
CASDK-S2
CASDK-S5</x:v>
      </x:c>
      <x:c r="H315" s="3" t="str">
        <x:v>Pre-tool denials and input/output hooks support configured filtering; automatic project/user instructions require trust decisions. Retrieved-authority and secret/egress guarantees remain application supplied.</x:v>
      </x:c>
      <x:c r="I315" s="3" t="str">
        <x:v>https://code.claude.com/docs/en/agent-sdk/overview
https://code.claude.com/docs/en/agent-sdk/permissions
https://code.claude.com/docs/en/agent-sdk/hooks</x:v>
      </x:c>
    </x:row>
    <x:row r="316" ht="49.5" customHeight="1">
      <x:c r="A316" s="3" t="str">
        <x:v>CASDK</x:v>
      </x:c>
      <x:c r="B316" s="3" t="str">
        <x:v>Anthropic Claude Agent SDK</x:v>
      </x:c>
      <x:c r="C316" s="3" t="str">
        <x:v>C26</x:v>
      </x:c>
      <x:c r="D316" s="9" t="n">
        <x:v>2</x:v>
      </x:c>
      <x:c r="E316" s="9" t="str">
        <x:v>R</x:v>
      </x:c>
      <x:c r="F316" s="9" t="str">
        <x:v>high</x:v>
      </x:c>
      <x:c r="G316" s="3" t="str">
        <x:v>CASDK-S4
CASDK-S6</x:v>
      </x:c>
      <x:c r="H316" s="3" t="str">
        <x:v>Estimated call-spend cap includes subagents and stops background work, but can overshoot; turn/depth/concurrency limits are scoped and have documented exceptions.</x:v>
      </x:c>
      <x:c r="I316" s="3" t="str">
        <x:v>https://code.claude.com/docs/en/agent-sdk/subagents
https://code.claude.com/docs/en/agent-sdk/cost-tracking</x:v>
      </x:c>
    </x:row>
    <x:row r="317" ht="49.5" customHeight="1">
      <x:c r="A317" s="3" t="str">
        <x:v>ADK</x:v>
      </x:c>
      <x:c r="B317" s="3" t="str">
        <x:v>Google Agent Development Kit</x:v>
      </x:c>
      <x:c r="C317" s="3" t="str">
        <x:v>C01</x:v>
      </x:c>
      <x:c r="D317" s="9" t="n">
        <x:v>2</x:v>
      </x:c>
      <x:c r="E317" s="9" t="str">
        <x:v>G</x:v>
      </x:c>
      <x:c r="F317" s="9" t="str">
        <x:v>high</x:v>
      </x:c>
      <x:c r="G317" s="3" t="str">
        <x:v>ADK-S1
ADK-S5</x:v>
      </x:c>
      <x:c r="H317" s="3" t="str">
        <x:v>Framework purpose and eval success criteria are explicit; domain outcomes/exclusions remain caller supplied.</x:v>
      </x:c>
      <x:c r="I317" s="3" t="str">
        <x:v>https://adk.dev/
https://adk.dev/evaluate/</x:v>
      </x:c>
    </x:row>
    <x:row r="318" ht="49.5" customHeight="1">
      <x:c r="A318" s="3" t="str">
        <x:v>ADK</x:v>
      </x:c>
      <x:c r="B318" s="3" t="str">
        <x:v>Google Agent Development Kit</x:v>
      </x:c>
      <x:c r="C318" s="3" t="str">
        <x:v>C02</x:v>
      </x:c>
      <x:c r="D318" s="9" t="str">
        <x:v>U</x:v>
      </x:c>
      <x:c r="E318" s="9" t="str">
        <x:v>U</x:v>
      </x:c>
      <x:c r="F318" s="9" t="str">
        <x:v>low</x:v>
      </x:c>
      <x:c r="G318" s="3" t="str">
        <x:v>ADK-S1
ADK-S5</x:v>
      </x:c>
      <x:c r="H318" s="3" t="str">
        <x:v>Agent/eval definitions do not establish constructed-product specification/realization traceability.</x:v>
      </x:c>
      <x:c r="I318" s="3" t="str">
        <x:v>https://adk.dev/
https://adk.dev/evaluate/</x:v>
      </x:c>
    </x:row>
    <x:row r="319" ht="49.5" customHeight="1">
      <x:c r="A319" s="3" t="str">
        <x:v>ADK</x:v>
      </x:c>
      <x:c r="B319" s="3" t="str">
        <x:v>Google Agent Development Kit</x:v>
      </x:c>
      <x:c r="C319" s="3" t="str">
        <x:v>C03</x:v>
      </x:c>
      <x:c r="D319" s="9" t="n">
        <x:v>1</x:v>
      </x:c>
      <x:c r="E319" s="9" t="str">
        <x:v>R</x:v>
      </x:c>
      <x:c r="F319" s="9" t="str">
        <x:v>high</x:v>
      </x:c>
      <x:c r="G319" s="3" t="str">
        <x:v>ADK-S2
ADK-S3</x:v>
      </x:c>
      <x:c r="H319" s="3" t="str">
        <x:v>Branch, invocation and event-completion state are explicit; structural identity does not establish contextual subject/representation meaning.</x:v>
      </x:c>
      <x:c r="I319" s="3" t="str">
        <x:v>https://adk.dev/workflows/collaboration/
https://adk.dev/runtime/resume/</x:v>
      </x:c>
    </x:row>
    <x:row r="320" ht="49.5" customHeight="1">
      <x:c r="A320" s="3" t="str">
        <x:v>ADK</x:v>
      </x:c>
      <x:c r="B320" s="3" t="str">
        <x:v>Google Agent Development Kit</x:v>
      </x:c>
      <x:c r="C320" s="3" t="str">
        <x:v>C04</x:v>
      </x:c>
      <x:c r="D320" s="9" t="str">
        <x:v>U</x:v>
      </x:c>
      <x:c r="E320" s="9" t="str">
        <x:v>U</x:v>
      </x:c>
      <x:c r="F320" s="9" t="str">
        <x:v>low</x:v>
      </x:c>
      <x:c r="G320" s="3" t="str">
        <x:v>ADK-S2</x:v>
      </x:c>
      <x:c r="H320" s="3" t="str">
        <x:v>Isolated branches and collected outputs do not establish conservation of governing constraints, failure or missing coverage.</x:v>
      </x:c>
      <x:c r="I320" s="3" t="str">
        <x:v>https://adk.dev/workflows/collaboration/</x:v>
      </x:c>
    </x:row>
    <x:row r="321" ht="49.5" customHeight="1">
      <x:c r="A321" s="3" t="str">
        <x:v>ADK</x:v>
      </x:c>
      <x:c r="B321" s="3" t="str">
        <x:v>Google Agent Development Kit</x:v>
      </x:c>
      <x:c r="C321" s="3" t="str">
        <x:v>C05</x:v>
      </x:c>
      <x:c r="D321" s="9" t="n">
        <x:v>1</x:v>
      </x:c>
      <x:c r="E321" s="9" t="str">
        <x:v>D</x:v>
      </x:c>
      <x:c r="F321" s="9" t="str">
        <x:v>high</x:v>
      </x:c>
      <x:c r="G321" s="3" t="str">
        <x:v>ADK-S3</x:v>
      </x:c>
      <x:c r="H321" s="3" t="str">
        <x:v>Resume forbids modifying the stopped workflow; selective changed-requirement support invalidation is not provided by that restriction.</x:v>
      </x:c>
      <x:c r="I321" s="3" t="str">
        <x:v>https://adk.dev/runtime/resume/</x:v>
      </x:c>
    </x:row>
    <x:row r="322" ht="49.5" customHeight="1">
      <x:c r="A322" s="3" t="str">
        <x:v>ADK</x:v>
      </x:c>
      <x:c r="B322" s="3" t="str">
        <x:v>Google Agent Development Kit</x:v>
      </x:c>
      <x:c r="C322" s="3" t="str">
        <x:v>C06</x:v>
      </x:c>
      <x:c r="D322" s="9" t="str">
        <x:v>NA</x:v>
      </x:c>
      <x:c r="E322" s="9" t="str">
        <x:v>G</x:v>
      </x:c>
      <x:c r="F322" s="9" t="str">
        <x:v>high</x:v>
      </x:c>
      <x:c r="G322" s="3" t="str">
        <x:v>ADK-S1</x:v>
      </x:c>
      <x:c r="H322" s="3" t="str">
        <x:v>SDK deployment support does not qualify constructed-product release/adoption; the application/product owner supplies that governance.</x:v>
      </x:c>
      <x:c r="I322" s="3" t="str">
        <x:v>https://adk.dev/</x:v>
      </x:c>
    </x:row>
    <x:row r="323" ht="49.5" customHeight="1">
      <x:c r="A323" s="3" t="str">
        <x:v>ADK</x:v>
      </x:c>
      <x:c r="B323" s="3" t="str">
        <x:v>Google Agent Development Kit</x:v>
      </x:c>
      <x:c r="C323" s="3" t="str">
        <x:v>C07</x:v>
      </x:c>
      <x:c r="D323" s="9" t="n">
        <x:v>2</x:v>
      </x:c>
      <x:c r="E323" s="9" t="str">
        <x:v>R</x:v>
      </x:c>
      <x:c r="F323" s="9" t="str">
        <x:v>high</x:v>
      </x:c>
      <x:c r="G323" s="3" t="str">
        <x:v>ADK-S2
ADK-S6</x:v>
      </x:c>
      <x:c r="H323" s="3" t="str">
        <x:v>Isolated collaboration branches and incremental source-backed skill loading select context; complete required-source admission remains unspecified.</x:v>
      </x:c>
      <x:c r="I323" s="3" t="str">
        <x:v>https://adk.dev/workflows/collaboration/
https://adk.dev/skills/</x:v>
      </x:c>
    </x:row>
    <x:row r="324" ht="49.5" customHeight="1">
      <x:c r="A324" s="3" t="str">
        <x:v>ADK</x:v>
      </x:c>
      <x:c r="B324" s="3" t="str">
        <x:v>Google Agent Development Kit</x:v>
      </x:c>
      <x:c r="C324" s="3" t="str">
        <x:v>C08</x:v>
      </x:c>
      <x:c r="D324" s="9" t="str">
        <x:v>U</x:v>
      </x:c>
      <x:c r="E324" s="9" t="str">
        <x:v>U</x:v>
      </x:c>
      <x:c r="F324" s="9" t="str">
        <x:v>low</x:v>
      </x:c>
      <x:c r="G324" s="3" t="str">
        <x:v>ADK-S2
ADK-S6</x:v>
      </x:c>
      <x:c r="H324" s="3" t="str">
        <x:v>Single-turn modes and incremental loading do not establish complete actor/task capacity or truthful required-context cannot-fit handling.</x:v>
      </x:c>
      <x:c r="I324" s="3" t="str">
        <x:v>https://adk.dev/workflows/collaboration/
https://adk.dev/skills/</x:v>
      </x:c>
    </x:row>
    <x:row r="325" ht="49.5" customHeight="1">
      <x:c r="A325" s="3" t="str">
        <x:v>ADK</x:v>
      </x:c>
      <x:c r="B325" s="3" t="str">
        <x:v>Google Agent Development Kit</x:v>
      </x:c>
      <x:c r="C325" s="3" t="str">
        <x:v>C09</x:v>
      </x:c>
      <x:c r="D325" s="9" t="n">
        <x:v>2</x:v>
      </x:c>
      <x:c r="E325" s="9" t="str">
        <x:v>R</x:v>
      </x:c>
      <x:c r="F325" s="9" t="str">
        <x:v>high</x:v>
      </x:c>
      <x:c r="G325" s="3" t="str">
        <x:v>ADK-S2</x:v>
      </x:c>
      <x:c r="H325" s="3" t="str">
        <x:v>Coordinator delegation, automatic parent return and collected branch results are first-class, subject to documented mode/language restrictions.</x:v>
      </x:c>
      <x:c r="I325" s="3" t="str">
        <x:v>https://adk.dev/workflows/collaboration/</x:v>
      </x:c>
    </x:row>
    <x:row r="326" ht="49.5" customHeight="1">
      <x:c r="A326" s="3" t="str">
        <x:v>ADK</x:v>
      </x:c>
      <x:c r="B326" s="3" t="str">
        <x:v>Google Agent Development Kit</x:v>
      </x:c>
      <x:c r="C326" s="3" t="str">
        <x:v>C10</x:v>
      </x:c>
      <x:c r="D326" s="9" t="n">
        <x:v>2</x:v>
      </x:c>
      <x:c r="E326" s="9" t="str">
        <x:v>R</x:v>
      </x:c>
      <x:c r="F326" s="9" t="str">
        <x:v>high</x:v>
      </x:c>
      <x:c r="G326" s="3" t="str">
        <x:v>ADK-S3</x:v>
      </x:c>
      <x:c r="H326" s="3" t="str">
        <x:v>Persisted events/completion state resume unfinished workflow tasks; custom agents need support and unchanged-workflow validity is a documented precondition.</x:v>
      </x:c>
      <x:c r="I326" s="3" t="str">
        <x:v>https://adk.dev/runtime/resume/</x:v>
      </x:c>
    </x:row>
    <x:row r="327" ht="49.5" customHeight="1">
      <x:c r="A327" s="3" t="str">
        <x:v>ADK</x:v>
      </x:c>
      <x:c r="B327" s="3" t="str">
        <x:v>Google Agent Development Kit</x:v>
      </x:c>
      <x:c r="C327" s="3" t="str">
        <x:v>C11</x:v>
      </x:c>
      <x:c r="D327" s="9" t="n">
        <x:v>2</x:v>
      </x:c>
      <x:c r="E327" s="9" t="str">
        <x:v>R</x:v>
      </x:c>
      <x:c r="F327" s="9" t="str">
        <x:v>medium</x:v>
      </x:c>
      <x:c r="G327" s="3" t="str">
        <x:v>ADK-S3
ADK-S4</x:v>
      </x:c>
      <x:c r="H327" s="3" t="str">
        <x:v>Completion state and error callbacks support scoped continuation/refusal handling; semantic success/unknown still need application classification.</x:v>
      </x:c>
      <x:c r="I327" s="3" t="str">
        <x:v>https://adk.dev/runtime/resume/
https://adk.dev/callbacks/types-of-callbacks/</x:v>
      </x:c>
    </x:row>
    <x:row r="328" ht="49.5" customHeight="1">
      <x:c r="A328" s="3" t="str">
        <x:v>ADK</x:v>
      </x:c>
      <x:c r="B328" s="3" t="str">
        <x:v>Google Agent Development Kit</x:v>
      </x:c>
      <x:c r="C328" s="3" t="str">
        <x:v>C12</x:v>
      </x:c>
      <x:c r="D328" s="9" t="n">
        <x:v>1</x:v>
      </x:c>
      <x:c r="E328" s="9" t="str">
        <x:v>G</x:v>
      </x:c>
      <x:c r="F328" s="9" t="str">
        <x:v>high</x:v>
      </x:c>
      <x:c r="G328" s="3" t="str">
        <x:v>ADK-S3</x:v>
      </x:c>
      <x:c r="H328" s="3" t="str">
        <x:v>Resume guarantees at-least-once tools; authors must prevent harmful duplicates, so interrupted external effects are not automatically reconciled.</x:v>
      </x:c>
      <x:c r="I328" s="3" t="str">
        <x:v>https://adk.dev/runtime/resume/</x:v>
      </x:c>
    </x:row>
    <x:row r="329" ht="49.5" customHeight="1">
      <x:c r="A329" s="3" t="str">
        <x:v>ADK</x:v>
      </x:c>
      <x:c r="B329" s="3" t="str">
        <x:v>Google Agent Development Kit</x:v>
      </x:c>
      <x:c r="C329" s="3" t="str">
        <x:v>C13</x:v>
      </x:c>
      <x:c r="D329" s="9" t="n">
        <x:v>2</x:v>
      </x:c>
      <x:c r="E329" s="9" t="str">
        <x:v>R</x:v>
      </x:c>
      <x:c r="F329" s="9" t="str">
        <x:v>high</x:v>
      </x:c>
      <x:c r="G329" s="3" t="str">
        <x:v>ADK-S4</x:v>
      </x:c>
      <x:c r="H329" s="3" t="str">
        <x:v>Before-tool callbacks can inspect authorization and skip execution; exact grants and callback decisions remain application defined.</x:v>
      </x:c>
      <x:c r="I329" s="3" t="str">
        <x:v>https://adk.dev/callbacks/types-of-callbacks/</x:v>
      </x:c>
    </x:row>
    <x:row r="330" ht="49.5" customHeight="1">
      <x:c r="A330" s="3" t="str">
        <x:v>ADK</x:v>
      </x:c>
      <x:c r="B330" s="3" t="str">
        <x:v>Google Agent Development Kit</x:v>
      </x:c>
      <x:c r="C330" s="3" t="str">
        <x:v>C14</x:v>
      </x:c>
      <x:c r="D330" s="9" t="n">
        <x:v>1</x:v>
      </x:c>
      <x:c r="E330" s="9" t="str">
        <x:v>R</x:v>
      </x:c>
      <x:c r="F330" s="9" t="str">
        <x:v>medium</x:v>
      </x:c>
      <x:c r="G330" s="3" t="str">
        <x:v>ADK-S5</x:v>
      </x:c>
      <x:c r="H330" s="3" t="str">
        <x:v>Reference/model grading exists; author/reference/evidence independence is not guaranteed.</x:v>
      </x:c>
      <x:c r="I330" s="3" t="str">
        <x:v>https://adk.dev/evaluate/</x:v>
      </x:c>
    </x:row>
    <x:row r="331" ht="49.5" customHeight="1">
      <x:c r="A331" s="3" t="str">
        <x:v>ADK</x:v>
      </x:c>
      <x:c r="B331" s="3" t="str">
        <x:v>Google Agent Development Kit</x:v>
      </x:c>
      <x:c r="C331" s="3" t="str">
        <x:v>C15</x:v>
      </x:c>
      <x:c r="D331" s="9" t="n">
        <x:v>2</x:v>
      </x:c>
      <x:c r="E331" s="9" t="str">
        <x:v>R</x:v>
      </x:c>
      <x:c r="F331" s="9" t="str">
        <x:v>high</x:v>
      </x:c>
      <x:c r="G331" s="3" t="str">
        <x:v>ADK-S5</x:v>
      </x:c>
      <x:c r="H331" s="3" t="str">
        <x:v>Reference trajectories/responses can precede candidates; faulty-evaluator controls remain unestablished.</x:v>
      </x:c>
      <x:c r="I331" s="3" t="str">
        <x:v>https://adk.dev/evaluate/</x:v>
      </x:c>
    </x:row>
    <x:row r="332" ht="49.5" customHeight="1">
      <x:c r="A332" s="3" t="str">
        <x:v>ADK</x:v>
      </x:c>
      <x:c r="B332" s="3" t="str">
        <x:v>Google Agent Development Kit</x:v>
      </x:c>
      <x:c r="C332" s="3" t="str">
        <x:v>C16</x:v>
      </x:c>
      <x:c r="D332" s="9" t="n">
        <x:v>1</x:v>
      </x:c>
      <x:c r="E332" s="9" t="str">
        <x:v>R</x:v>
      </x:c>
      <x:c r="F332" s="9" t="str">
        <x:v>high</x:v>
      </x:c>
      <x:c r="G332" s="3" t="str">
        <x:v>ADK-S4
ADK-S5</x:v>
      </x:c>
      <x:c r="H332" s="3" t="str">
        <x:v>Tool interception and output/trajectory grading differ; semantic judgment/acceptance remain application relations.</x:v>
      </x:c>
      <x:c r="I332" s="3" t="str">
        <x:v>https://adk.dev/callbacks/types-of-callbacks/
https://adk.dev/evaluate/</x:v>
      </x:c>
    </x:row>
    <x:row r="333" ht="49.5" customHeight="1">
      <x:c r="A333" s="3" t="str">
        <x:v>ADK</x:v>
      </x:c>
      <x:c r="B333" s="3" t="str">
        <x:v>Google Agent Development Kit</x:v>
      </x:c>
      <x:c r="C333" s="3" t="str">
        <x:v>C17</x:v>
      </x:c>
      <x:c r="D333" s="9" t="n">
        <x:v>1</x:v>
      </x:c>
      <x:c r="E333" s="9" t="str">
        <x:v>R</x:v>
      </x:c>
      <x:c r="F333" s="9" t="str">
        <x:v>high</x:v>
      </x:c>
      <x:c r="G333" s="3" t="str">
        <x:v>ADK-S3
ADK-S5</x:v>
      </x:c>
      <x:c r="H333" s="3" t="str">
        <x:v>Invocation/eval records bind execution; exact governing basis and verdict scope need application design.</x:v>
      </x:c>
      <x:c r="I333" s="3" t="str">
        <x:v>https://adk.dev/runtime/resume/
https://adk.dev/evaluate/</x:v>
      </x:c>
    </x:row>
    <x:row r="334" ht="49.5" customHeight="1">
      <x:c r="A334" s="3" t="str">
        <x:v>ADK</x:v>
      </x:c>
      <x:c r="B334" s="3" t="str">
        <x:v>Google Agent Development Kit</x:v>
      </x:c>
      <x:c r="C334" s="3" t="str">
        <x:v>C18</x:v>
      </x:c>
      <x:c r="D334" s="9" t="n">
        <x:v>2</x:v>
      </x:c>
      <x:c r="E334" s="9" t="str">
        <x:v>R</x:v>
      </x:c>
      <x:c r="F334" s="9" t="str">
        <x:v>high</x:v>
      </x:c>
      <x:c r="G334" s="3" t="str">
        <x:v>ADK-S5</x:v>
      </x:c>
      <x:c r="H334" s="3" t="str">
        <x:v>Regression, safety/grounding and recorded conformance cases exist; changed-basis coverage remains author supplied.</x:v>
      </x:c>
      <x:c r="I334" s="3" t="str">
        <x:v>https://adk.dev/evaluate/</x:v>
      </x:c>
    </x:row>
    <x:row r="335" ht="49.5" customHeight="1">
      <x:c r="A335" s="3" t="str">
        <x:v>ADK</x:v>
      </x:c>
      <x:c r="B335" s="3" t="str">
        <x:v>Google Agent Development Kit</x:v>
      </x:c>
      <x:c r="C335" s="3" t="str">
        <x:v>C19</x:v>
      </x:c>
      <x:c r="D335" s="9" t="n">
        <x:v>3</x:v>
      </x:c>
      <x:c r="E335" s="9" t="str">
        <x:v>G</x:v>
      </x:c>
      <x:c r="F335" s="9" t="str">
        <x:v>high</x:v>
      </x:c>
      <x:c r="G335" s="3" t="str">
        <x:v>ADK-S1</x:v>
      </x:c>
      <x:c r="H335" s="3" t="str">
        <x:v>Public language-specific setup and ordinary build/debug/deploy routes provide accessible first-use entry.</x:v>
      </x:c>
      <x:c r="I335" s="3" t="str">
        <x:v>https://adk.dev/</x:v>
      </x:c>
    </x:row>
    <x:row r="336" ht="49.5" customHeight="1">
      <x:c r="A336" s="3" t="str">
        <x:v>ADK</x:v>
      </x:c>
      <x:c r="B336" s="3" t="str">
        <x:v>Google Agent Development Kit</x:v>
      </x:c>
      <x:c r="C336" s="3" t="str">
        <x:v>C20</x:v>
      </x:c>
      <x:c r="D336" s="9" t="n">
        <x:v>2</x:v>
      </x:c>
      <x:c r="E336" s="9" t="str">
        <x:v>R</x:v>
      </x:c>
      <x:c r="F336" s="9" t="str">
        <x:v>high</x:v>
      </x:c>
      <x:c r="G336" s="3" t="str">
        <x:v>ADK-S6</x:v>
      </x:c>
      <x:c r="H336" s="3" t="str">
        <x:v>Standard source-backed skills progressively load instructions/resources; the feature is explicitly experimental with language-specific limitations.</x:v>
      </x:c>
      <x:c r="I336" s="3" t="str">
        <x:v>https://adk.dev/skills/</x:v>
      </x:c>
    </x:row>
    <x:row r="337" ht="49.5" customHeight="1">
      <x:c r="A337" s="3" t="str">
        <x:v>ADK</x:v>
      </x:c>
      <x:c r="B337" s="3" t="str">
        <x:v>Google Agent Development Kit</x:v>
      </x:c>
      <x:c r="C337" s="3" t="str">
        <x:v>C21</x:v>
      </x:c>
      <x:c r="D337" s="9" t="n">
        <x:v>3</x:v>
      </x:c>
      <x:c r="E337" s="9" t="str">
        <x:v>R</x:v>
      </x:c>
      <x:c r="F337" s="9" t="str">
        <x:v>high</x:v>
      </x:c>
      <x:c r="G337" s="3" t="str">
        <x:v>ADK-S5</x:v>
      </x:c>
      <x:c r="H337" s="3" t="str">
        <x:v>Native repeatable evals, references and CI paths qualify first-class scoped evaluation capability.</x:v>
      </x:c>
      <x:c r="I337" s="3" t="str">
        <x:v>https://adk.dev/evaluate/</x:v>
      </x:c>
    </x:row>
    <x:row r="338" ht="49.5" customHeight="1">
      <x:c r="A338" s="3" t="str">
        <x:v>ADK</x:v>
      </x:c>
      <x:c r="B338" s="3" t="str">
        <x:v>Google Agent Development Kit</x:v>
      </x:c>
      <x:c r="C338" s="3" t="str">
        <x:v>C22</x:v>
      </x:c>
      <x:c r="D338" s="9" t="n">
        <x:v>2</x:v>
      </x:c>
      <x:c r="E338" s="9" t="str">
        <x:v>R</x:v>
      </x:c>
      <x:c r="F338" s="9" t="str">
        <x:v>high</x:v>
      </x:c>
      <x:c r="G338" s="3" t="str">
        <x:v>ADK-S5</x:v>
      </x:c>
      <x:c r="H338" s="3" t="str">
        <x:v>Eval tokens, calls and wall time are reported; complete delegated/context/aggregate semantics remain partial.</x:v>
      </x:c>
      <x:c r="I338" s="3" t="str">
        <x:v>https://adk.dev/evaluate/</x:v>
      </x:c>
    </x:row>
    <x:row r="339" ht="49.5" customHeight="1">
      <x:c r="A339" s="3" t="str">
        <x:v>ADK</x:v>
      </x:c>
      <x:c r="B339" s="3" t="str">
        <x:v>Google Agent Development Kit</x:v>
      </x:c>
      <x:c r="C339" s="3" t="str">
        <x:v>C23</x:v>
      </x:c>
      <x:c r="D339" s="9" t="str">
        <x:v>U</x:v>
      </x:c>
      <x:c r="E339" s="9" t="str">
        <x:v>U</x:v>
      </x:c>
      <x:c r="F339" s="9" t="str">
        <x:v>low</x:v>
      </x:c>
      <x:c r="G339" s="3" t="str">
        <x:v>ADK-S1
ADK-S5</x:v>
      </x:c>
      <x:c r="H339" s="3" t="str">
        <x:v>Production/evaluation claims provide no qualified measured framework effectiveness.</x:v>
      </x:c>
      <x:c r="I339" s="3" t="str">
        <x:v>https://adk.dev/
https://adk.dev/evaluate/</x:v>
      </x:c>
    </x:row>
    <x:row r="340" ht="49.5" customHeight="1">
      <x:c r="A340" s="3" t="str">
        <x:v>ADK</x:v>
      </x:c>
      <x:c r="B340" s="3" t="str">
        <x:v>Google Agent Development Kit</x:v>
      </x:c>
      <x:c r="C340" s="3" t="str">
        <x:v>C24</x:v>
      </x:c>
      <x:c r="D340" s="9" t="str">
        <x:v>U</x:v>
      </x:c>
      <x:c r="E340" s="9" t="str">
        <x:v>U</x:v>
      </x:c>
      <x:c r="F340" s="9" t="str">
        <x:v>low</x:v>
      </x:c>
      <x:c r="G340" s="3" t="str">
        <x:v>ADK-S5
ADK-S6</x:v>
      </x:c>
      <x:c r="H340" s="3" t="str">
        <x:v>Conformance and skill validation do not qualify fresh-actor method fidelity or faulty-guidance/oracle controls.</x:v>
      </x:c>
      <x:c r="I340" s="3" t="str">
        <x:v>https://adk.dev/evaluate/
https://adk.dev/skills/</x:v>
      </x:c>
    </x:row>
    <x:row r="341" ht="49.5" customHeight="1">
      <x:c r="A341" s="3" t="str">
        <x:v>ADK</x:v>
      </x:c>
      <x:c r="B341" s="3" t="str">
        <x:v>Google Agent Development Kit</x:v>
      </x:c>
      <x:c r="C341" s="3" t="str">
        <x:v>C25</x:v>
      </x:c>
      <x:c r="D341" s="9" t="n">
        <x:v>1</x:v>
      </x:c>
      <x:c r="E341" s="9" t="str">
        <x:v>R</x:v>
      </x:c>
      <x:c r="F341" s="9" t="str">
        <x:v>medium</x:v>
      </x:c>
      <x:c r="G341" s="3" t="str">
        <x:v>ADK-S4</x:v>
      </x:c>
      <x:c r="H341" s="3" t="str">
        <x:v>Before-model/tool callbacks permit application filtering and authorization; they do not supply a framework-wide retrieved-instruction trust or secret/egress policy.</x:v>
      </x:c>
      <x:c r="I341" s="3" t="str">
        <x:v>https://adk.dev/callbacks/types-of-callbacks/</x:v>
      </x:c>
    </x:row>
    <x:row r="342" ht="49.5" customHeight="1">
      <x:c r="A342" s="3" t="str">
        <x:v>ADK</x:v>
      </x:c>
      <x:c r="B342" s="3" t="str">
        <x:v>Google Agent Development Kit</x:v>
      </x:c>
      <x:c r="C342" s="3" t="str">
        <x:v>C26</x:v>
      </x:c>
      <x:c r="D342" s="9" t="n">
        <x:v>2</x:v>
      </x:c>
      <x:c r="E342" s="9" t="str">
        <x:v>R</x:v>
      </x:c>
      <x:c r="F342" s="9" t="str">
        <x:v>high</x:v>
      </x:c>
      <x:c r="G342" s="3" t="str">
        <x:v>ADK-S7</x:v>
      </x:c>
      <x:c r="H342" s="3" t="str">
        <x:v>Configured max_llm_calls bounds each run; nonpositive disables it. Global spend/runtime/concurrency ceilings, delegated aggregation and cancellation effects remain unqualified here.</x:v>
      </x:c>
      <x:c r="I342" s="3" t="str">
        <x:v>https://adk.dev/runtime/runconfig/</x:v>
      </x:c>
    </x:row>
    <x:row r="343" ht="49.5" customHeight="1">
      <x:c r="A343" s="3" t="str">
        <x:v>OPENHANDS</x:v>
      </x:c>
      <x:c r="B343" s="3" t="str">
        <x:v>OpenHands Software Agent SDK</x:v>
      </x:c>
      <x:c r="C343" s="3" t="str">
        <x:v>C01</x:v>
      </x:c>
      <x:c r="D343" s="9" t="n">
        <x:v>1</x:v>
      </x:c>
      <x:c r="E343" s="9" t="str">
        <x:v>G</x:v>
      </x:c>
      <x:c r="F343" s="9" t="str">
        <x:v>medium</x:v>
      </x:c>
      <x:c r="G343" s="3" t="str">
        <x:v>OH01</x:v>
      </x:c>
      <x:c r="H343" s="3" t="str">
        <x:v>User prompts define tasks; a full owner-authored outcome/exclusion contract is not supplied.</x:v>
      </x:c>
      <x:c r="I343" s="3" t="str">
        <x:v>https://github.com/OpenHands/software-agent-sdk</x:v>
      </x:c>
    </x:row>
    <x:row r="344" ht="49.5" customHeight="1">
      <x:c r="A344" s="3" t="str">
        <x:v>OPENHANDS</x:v>
      </x:c>
      <x:c r="B344" s="3" t="str">
        <x:v>OpenHands Software Agent SDK</x:v>
      </x:c>
      <x:c r="C344" s="3" t="str">
        <x:v>C02</x:v>
      </x:c>
      <x:c r="D344" s="9" t="n">
        <x:v>1</x:v>
      </x:c>
      <x:c r="E344" s="9" t="str">
        <x:v>R</x:v>
      </x:c>
      <x:c r="F344" s="9" t="str">
        <x:v>medium</x:v>
      </x:c>
      <x:c r="G344" s="3" t="str">
        <x:v>OH01
OH02</x:v>
      </x:c>
      <x:c r="H344" s="3" t="str">
        <x:v>Agent configuration and tools separate mechanics; requirement-realization traceability remains caller-owned.</x:v>
      </x:c>
      <x:c r="I344" s="3" t="str">
        <x:v>https://github.com/OpenHands/software-agent-sdk
https://docs.openhands.dev/sdk/arch/overview</x:v>
      </x:c>
    </x:row>
    <x:row r="345" ht="49.5" customHeight="1">
      <x:c r="A345" s="3" t="str">
        <x:v>OPENHANDS</x:v>
      </x:c>
      <x:c r="B345" s="3" t="str">
        <x:v>OpenHands Software Agent SDK</x:v>
      </x:c>
      <x:c r="C345" s="3" t="str">
        <x:v>C03</x:v>
      </x:c>
      <x:c r="D345" s="9" t="n">
        <x:v>2</x:v>
      </x:c>
      <x:c r="E345" s="9" t="str">
        <x:v>R</x:v>
      </x:c>
      <x:c r="F345" s="9" t="str">
        <x:v>medium</x:v>
      </x:c>
      <x:c r="G345" s="3" t="str">
        <x:v>OH02
OH04</x:v>
      </x:c>
      <x:c r="H345" s="3" t="str">
        <x:v>Action/observation events, conversation identity, configuration and execution state are distinct.</x:v>
      </x:c>
      <x:c r="I345" s="3" t="str">
        <x:v>https://docs.openhands.dev/sdk/arch/overview
https://docs.openhands.dev/sdk/guides/convo-persistence</x:v>
      </x:c>
    </x:row>
    <x:row r="346" ht="49.5" customHeight="1">
      <x:c r="A346" s="3" t="str">
        <x:v>OPENHANDS</x:v>
      </x:c>
      <x:c r="B346" s="3" t="str">
        <x:v>OpenHands Software Agent SDK</x:v>
      </x:c>
      <x:c r="C346" s="3" t="str">
        <x:v>C04</x:v>
      </x:c>
      <x:c r="D346" s="9" t="n">
        <x:v>1</x:v>
      </x:c>
      <x:c r="E346" s="9" t="str">
        <x:v>R</x:v>
      </x:c>
      <x:c r="F346" s="9" t="str">
        <x:v>medium</x:v>
      </x:c>
      <x:c r="G346" s="3" t="str">
        <x:v>OH02
OH05</x:v>
      </x:c>
      <x:c r="H346" s="3" t="str">
        <x:v>Composable components/task results do not establish conservation of semantic obligations.</x:v>
      </x:c>
      <x:c r="I346" s="3" t="str">
        <x:v>https://docs.openhands.dev/sdk/arch/overview
https://docs.openhands.dev/sdk/guides/task-tool-set</x:v>
      </x:c>
    </x:row>
    <x:row r="347" ht="49.5" customHeight="1">
      <x:c r="A347" s="3" t="str">
        <x:v>OPENHANDS</x:v>
      </x:c>
      <x:c r="B347" s="3" t="str">
        <x:v>OpenHands Software Agent SDK</x:v>
      </x:c>
      <x:c r="C347" s="3" t="str">
        <x:v>C05</x:v>
      </x:c>
      <x:c r="D347" s="9" t="str">
        <x:v>U</x:v>
      </x:c>
      <x:c r="E347" s="9" t="str">
        <x:v>U</x:v>
      </x:c>
      <x:c r="F347" s="9" t="str">
        <x:v>low</x:v>
      </x:c>
      <x:c r="G347" s="3" t="str">
        <x:v>OH04</x:v>
      </x:c>
      <x:c r="H347" s="3" t="str">
        <x:v>Persisted conversations do not establish requirement/support invalidation after changed basis.</x:v>
      </x:c>
      <x:c r="I347" s="3" t="str">
        <x:v>https://docs.openhands.dev/sdk/guides/convo-persistence</x:v>
      </x:c>
    </x:row>
    <x:row r="348" ht="49.5" customHeight="1">
      <x:c r="A348" s="3" t="str">
        <x:v>OPENHANDS</x:v>
      </x:c>
      <x:c r="B348" s="3" t="str">
        <x:v>OpenHands Software Agent SDK</x:v>
      </x:c>
      <x:c r="C348" s="3" t="str">
        <x:v>C06</x:v>
      </x:c>
      <x:c r="D348" s="9" t="str">
        <x:v>NA</x:v>
      </x:c>
      <x:c r="E348" s="9" t="str">
        <x:v>R</x:v>
      </x:c>
      <x:c r="F348" s="9" t="str">
        <x:v>high</x:v>
      </x:c>
      <x:c r="G348" s="3" t="str">
        <x:v>OH02</x:v>
      </x:c>
      <x:c r="H348" s="3" t="str">
        <x:v>SDK deploys agents; integrating product owner/method governs constructed-product adoption.</x:v>
      </x:c>
      <x:c r="I348" s="3" t="str">
        <x:v>https://docs.openhands.dev/sdk/arch/overview</x:v>
      </x:c>
    </x:row>
    <x:row r="349" ht="49.5" customHeight="1">
      <x:c r="A349" s="3" t="str">
        <x:v>OPENHANDS</x:v>
      </x:c>
      <x:c r="B349" s="3" t="str">
        <x:v>OpenHands Software Agent SDK</x:v>
      </x:c>
      <x:c r="C349" s="3" t="str">
        <x:v>C07</x:v>
      </x:c>
      <x:c r="D349" s="9" t="n">
        <x:v>2</x:v>
      </x:c>
      <x:c r="E349" s="9" t="str">
        <x:v>R</x:v>
      </x:c>
      <x:c r="F349" s="9" t="str">
        <x:v>high</x:v>
      </x:c>
      <x:c r="G349" s="3" t="str">
        <x:v>OH08</x:v>
      </x:c>
      <x:c r="H349" s="3" t="str">
        <x:v>Source-located lazy skills and path rules select context; ACP injection exclusions are explicit.</x:v>
      </x:c>
      <x:c r="I349" s="3" t="str">
        <x:v>https://docs.openhands.dev/sdk/guides/skill</x:v>
      </x:c>
    </x:row>
    <x:row r="350" ht="49.5" customHeight="1">
      <x:c r="A350" s="3" t="str">
        <x:v>OPENHANDS</x:v>
      </x:c>
      <x:c r="B350" s="3" t="str">
        <x:v>OpenHands Software Agent SDK</x:v>
      </x:c>
      <x:c r="C350" s="3" t="str">
        <x:v>C08</x:v>
      </x:c>
      <x:c r="D350" s="9" t="n">
        <x:v>1</x:v>
      </x:c>
      <x:c r="E350" s="9" t="str">
        <x:v>R</x:v>
      </x:c>
      <x:c r="F350" s="9" t="str">
        <x:v>high</x:v>
      </x:c>
      <x:c r="G350" s="3" t="str">
        <x:v>OH06</x:v>
      </x:c>
      <x:c r="H350" s="3" t="str">
        <x:v>Event-count condensation manages history; actual required-context cannot-fit handling unestablished.</x:v>
      </x:c>
      <x:c r="I350" s="3" t="str">
        <x:v>https://docs.openhands.dev/sdk/guides/context-condenser</x:v>
      </x:c>
    </x:row>
    <x:row r="351" ht="49.5" customHeight="1">
      <x:c r="A351" s="3" t="str">
        <x:v>OPENHANDS</x:v>
      </x:c>
      <x:c r="B351" s="3" t="str">
        <x:v>OpenHands Software Agent SDK</x:v>
      </x:c>
      <x:c r="C351" s="3" t="str">
        <x:v>C09</x:v>
      </x:c>
      <x:c r="D351" s="9" t="n">
        <x:v>2</x:v>
      </x:c>
      <x:c r="E351" s="9" t="str">
        <x:v>R</x:v>
      </x:c>
      <x:c r="F351" s="9" t="str">
        <x:v>high</x:v>
      </x:c>
      <x:c r="G351" s="3" t="str">
        <x:v>OH05</x:v>
      </x:c>
      <x:c r="H351" s="3" t="str">
        <x:v>Task lifecycle, IDs, parent result returns and resumable subordinate conversations are native.</x:v>
      </x:c>
      <x:c r="I351" s="3" t="str">
        <x:v>https://docs.openhands.dev/sdk/guides/task-tool-set</x:v>
      </x:c>
    </x:row>
    <x:row r="352" ht="49.5" customHeight="1">
      <x:c r="A352" s="3" t="str">
        <x:v>OPENHANDS</x:v>
      </x:c>
      <x:c r="B352" s="3" t="str">
        <x:v>OpenHands Software Agent SDK</x:v>
      </x:c>
      <x:c r="C352" s="3" t="str">
        <x:v>C10</x:v>
      </x:c>
      <x:c r="D352" s="9" t="n">
        <x:v>2</x:v>
      </x:c>
      <x:c r="E352" s="9" t="str">
        <x:v>R</x:v>
      </x:c>
      <x:c r="F352" s="9" t="str">
        <x:v>high</x:v>
      </x:c>
      <x:c r="G352" s="3" t="str">
        <x:v>OH04
OH05</x:v>
      </x:c>
      <x:c r="H352" s="3" t="str">
        <x:v>State/events/configuration persist across sessions; changed external-basis validation is narrower.</x:v>
      </x:c>
      <x:c r="I352" s="3" t="str">
        <x:v>https://docs.openhands.dev/sdk/guides/convo-persistence
https://docs.openhands.dev/sdk/guides/task-tool-set</x:v>
      </x:c>
    </x:row>
    <x:row r="353" ht="49.5" customHeight="1">
      <x:c r="A353" s="3" t="str">
        <x:v>OPENHANDS</x:v>
      </x:c>
      <x:c r="B353" s="3" t="str">
        <x:v>OpenHands Software Agent SDK</x:v>
      </x:c>
      <x:c r="C353" s="3" t="str">
        <x:v>C11</x:v>
      </x:c>
      <x:c r="D353" s="9" t="n">
        <x:v>2</x:v>
      </x:c>
      <x:c r="E353" s="9" t="str">
        <x:v>R</x:v>
      </x:c>
      <x:c r="F353" s="9" t="str">
        <x:v>high</x:v>
      </x:c>
      <x:c r="G353" s="3" t="str">
        <x:v>OH03
OH05</x:v>
      </x:c>
      <x:c r="H353" s="3" t="str">
        <x:v>UNKNOWN security risk, rejected actions and task errors have distinct controlled outcomes.</x:v>
      </x:c>
      <x:c r="I353" s="3" t="str">
        <x:v>https://docs.openhands.dev/sdk/guides/security
https://docs.openhands.dev/sdk/guides/task-tool-set</x:v>
      </x:c>
    </x:row>
    <x:row r="354" ht="49.5" customHeight="1">
      <x:c r="A354" s="3" t="str">
        <x:v>OPENHANDS</x:v>
      </x:c>
      <x:c r="B354" s="3" t="str">
        <x:v>OpenHands Software Agent SDK</x:v>
      </x:c>
      <x:c r="C354" s="3" t="str">
        <x:v>C12</x:v>
      </x:c>
      <x:c r="D354" s="9" t="n">
        <x:v>1</x:v>
      </x:c>
      <x:c r="E354" s="9" t="str">
        <x:v>R</x:v>
      </x:c>
      <x:c r="F354" s="9" t="str">
        <x:v>medium</x:v>
      </x:c>
      <x:c r="G354" s="3" t="str">
        <x:v>OH04</x:v>
      </x:c>
      <x:c r="H354" s="3" t="str">
        <x:v>Atomic local state/events support recovery; uncertain external tool effects remain unestablished.</x:v>
      </x:c>
      <x:c r="I354" s="3" t="str">
        <x:v>https://docs.openhands.dev/sdk/guides/convo-persistence</x:v>
      </x:c>
    </x:row>
    <x:row r="355" ht="49.5" customHeight="1">
      <x:c r="A355" s="3" t="str">
        <x:v>OPENHANDS</x:v>
      </x:c>
      <x:c r="B355" s="3" t="str">
        <x:v>OpenHands Software Agent SDK</x:v>
      </x:c>
      <x:c r="C355" s="3" t="str">
        <x:v>C13</x:v>
      </x:c>
      <x:c r="D355" s="9" t="n">
        <x:v>2</x:v>
      </x:c>
      <x:c r="E355" s="9" t="str">
        <x:v>R</x:v>
      </x:c>
      <x:c r="F355" s="9" t="str">
        <x:v>high</x:v>
      </x:c>
      <x:c r="G355" s="3" t="str">
        <x:v>OH03</x:v>
      </x:c>
      <x:c r="H355" s="3" t="str">
        <x:v>Configured conversation-loop actions receive pre-effect analysis/confirmation; direct tool calls bypass it.</x:v>
      </x:c>
      <x:c r="I355" s="3" t="str">
        <x:v>https://docs.openhands.dev/sdk/guides/security</x:v>
      </x:c>
    </x:row>
    <x:row r="356" ht="49.5" customHeight="1">
      <x:c r="A356" s="3" t="str">
        <x:v>OPENHANDS</x:v>
      </x:c>
      <x:c r="B356" s="3" t="str">
        <x:v>OpenHands Software Agent SDK</x:v>
      </x:c>
      <x:c r="C356" s="3" t="str">
        <x:v>C14</x:v>
      </x:c>
      <x:c r="D356" s="9" t="n">
        <x:v>2</x:v>
      </x:c>
      <x:c r="E356" s="9" t="str">
        <x:v>R</x:v>
      </x:c>
      <x:c r="F356" s="9" t="str">
        <x:v>medium</x:v>
      </x:c>
      <x:c r="G356" s="3" t="str">
        <x:v>OH03</x:v>
      </x:c>
      <x:c r="H356" s="3" t="str">
        <x:v>Separate security-analyzer LLM assesses action risk; general code-claim independence unestablished.</x:v>
      </x:c>
      <x:c r="I356" s="3" t="str">
        <x:v>https://docs.openhands.dev/sdk/guides/security</x:v>
      </x:c>
    </x:row>
    <x:row r="357" ht="49.5" customHeight="1">
      <x:c r="A357" s="3" t="str">
        <x:v>OPENHANDS</x:v>
      </x:c>
      <x:c r="B357" s="3" t="str">
        <x:v>OpenHands Software Agent SDK</x:v>
      </x:c>
      <x:c r="C357" s="3" t="str">
        <x:v>C15</x:v>
      </x:c>
      <x:c r="D357" s="9" t="n">
        <x:v>2</x:v>
      </x:c>
      <x:c r="E357" s="9" t="str">
        <x:v>P</x:v>
      </x:c>
      <x:c r="F357" s="9" t="str">
        <x:v>medium</x:v>
      </x:c>
      <x:c r="G357" s="3" t="str">
        <x:v>OH09</x:v>
      </x:c>
      <x:c r="H357" s="3" t="str">
        <x:v>External trajectory analysis exposed benchmark reference leakage and prompted corrected oracle conditions.</x:v>
      </x:c>
      <x:c r="I357" s="3" t="str">
        <x:v>https://www.openhands.dev/blog/analyzing-and-improving-openhands-index</x:v>
      </x:c>
    </x:row>
    <x:row r="358" ht="49.5" customHeight="1">
      <x:c r="A358" s="3" t="str">
        <x:v>OPENHANDS</x:v>
      </x:c>
      <x:c r="B358" s="3" t="str">
        <x:v>OpenHands Software Agent SDK</x:v>
      </x:c>
      <x:c r="C358" s="3" t="str">
        <x:v>C16</x:v>
      </x:c>
      <x:c r="D358" s="9" t="n">
        <x:v>1</x:v>
      </x:c>
      <x:c r="E358" s="9" t="str">
        <x:v>R</x:v>
      </x:c>
      <x:c r="F358" s="9" t="str">
        <x:v>medium</x:v>
      </x:c>
      <x:c r="G358" s="3" t="str">
        <x:v>OH03</x:v>
      </x:c>
      <x:c r="H358" s="3" t="str">
        <x:v>Action-risk judgment and user execution approval separate; software acceptance semantics remain caller-owned.</x:v>
      </x:c>
      <x:c r="I358" s="3" t="str">
        <x:v>https://docs.openhands.dev/sdk/guides/security</x:v>
      </x:c>
    </x:row>
    <x:row r="359" ht="49.5" customHeight="1">
      <x:c r="A359" s="3" t="str">
        <x:v>OPENHANDS</x:v>
      </x:c>
      <x:c r="B359" s="3" t="str">
        <x:v>OpenHands Software Agent SDK</x:v>
      </x:c>
      <x:c r="C359" s="3" t="str">
        <x:v>C17</x:v>
      </x:c>
      <x:c r="D359" s="9" t="n">
        <x:v>2</x:v>
      </x:c>
      <x:c r="E359" s="9" t="str">
        <x:v>R</x:v>
      </x:c>
      <x:c r="F359" s="9" t="str">
        <x:v>medium</x:v>
      </x:c>
      <x:c r="G359" s="3" t="str">
        <x:v>OH04
OH09</x:v>
      </x:c>
      <x:c r="H359" s="3" t="str">
        <x:v>Persisted events/configuration and benchmark traces record evidence; full immutable product-basis binding unestablished.</x:v>
      </x:c>
      <x:c r="I359" s="3" t="str">
        <x:v>https://docs.openhands.dev/sdk/guides/convo-persistence
https://www.openhands.dev/blog/analyzing-and-improving-openhands-index</x:v>
      </x:c>
    </x:row>
    <x:row r="360" ht="49.5" customHeight="1">
      <x:c r="A360" s="3" t="str">
        <x:v>OPENHANDS</x:v>
      </x:c>
      <x:c r="B360" s="3" t="str">
        <x:v>OpenHands Software Agent SDK</x:v>
      </x:c>
      <x:c r="C360" s="3" t="str">
        <x:v>C18</x:v>
      </x:c>
      <x:c r="D360" s="9" t="n">
        <x:v>2</x:v>
      </x:c>
      <x:c r="E360" s="9" t="str">
        <x:v>P</x:v>
      </x:c>
      <x:c r="F360" s="9" t="str">
        <x:v>high</x:v>
      </x:c>
      <x:c r="G360" s="3" t="str">
        <x:v>OH09</x:v>
      </x:c>
      <x:c r="H360" s="3" t="str">
        <x:v>Commit0 leakage repair and reruns demonstrate a concrete adverse evaluation/regression path.</x:v>
      </x:c>
      <x:c r="I360" s="3" t="str">
        <x:v>https://www.openhands.dev/blog/analyzing-and-improving-openhands-index</x:v>
      </x:c>
    </x:row>
    <x:row r="361" ht="49.5" customHeight="1">
      <x:c r="A361" s="3" t="str">
        <x:v>OPENHANDS</x:v>
      </x:c>
      <x:c r="B361" s="3" t="str">
        <x:v>OpenHands Software Agent SDK</x:v>
      </x:c>
      <x:c r="C361" s="3" t="str">
        <x:v>C19</x:v>
      </x:c>
      <x:c r="D361" s="9" t="n">
        <x:v>3</x:v>
      </x:c>
      <x:c r="E361" s="9" t="str">
        <x:v>G</x:v>
      </x:c>
      <x:c r="F361" s="9" t="str">
        <x:v>high</x:v>
      </x:c>
      <x:c r="G361" s="3" t="str">
        <x:v>OH01
OH02</x:v>
      </x:c>
      <x:c r="H361" s="3" t="str">
        <x:v>Published minimal agent and optional deployment packages expose ordinary SDK entry.</x:v>
      </x:c>
      <x:c r="I361" s="3" t="str">
        <x:v>https://github.com/OpenHands/software-agent-sdk
https://docs.openhands.dev/sdk/arch/overview</x:v>
      </x:c>
    </x:row>
    <x:row r="362" ht="49.5" customHeight="1">
      <x:c r="A362" s="3" t="str">
        <x:v>OPENHANDS</x:v>
      </x:c>
      <x:c r="B362" s="3" t="str">
        <x:v>OpenHands Software Agent SDK</x:v>
      </x:c>
      <x:c r="C362" s="3" t="str">
        <x:v>C20</x:v>
      </x:c>
      <x:c r="D362" s="9" t="n">
        <x:v>3</x:v>
      </x:c>
      <x:c r="E362" s="9" t="str">
        <x:v>R</x:v>
      </x:c>
      <x:c r="F362" s="9" t="str">
        <x:v>high</x:v>
      </x:c>
      <x:c r="G362" s="3" t="str">
        <x:v>OH08</x:v>
      </x:c>
      <x:c r="H362" s="3" t="str">
        <x:v>Native reusable source-located skills, scripts and triggers support portable contextual instructions.</x:v>
      </x:c>
      <x:c r="I362" s="3" t="str">
        <x:v>https://docs.openhands.dev/sdk/guides/skill</x:v>
      </x:c>
    </x:row>
    <x:row r="363" ht="49.5" customHeight="1">
      <x:c r="A363" s="3" t="str">
        <x:v>OPENHANDS</x:v>
      </x:c>
      <x:c r="B363" s="3" t="str">
        <x:v>OpenHands Software Agent SDK</x:v>
      </x:c>
      <x:c r="C363" s="3" t="str">
        <x:v>C21</x:v>
      </x:c>
      <x:c r="D363" s="9" t="n">
        <x:v>3</x:v>
      </x:c>
      <x:c r="E363" s="9" t="str">
        <x:v>R</x:v>
      </x:c>
      <x:c r="F363" s="9" t="str">
        <x:v>high</x:v>
      </x:c>
      <x:c r="G363" s="3" t="str">
        <x:v>OH01
OH09</x:v>
      </x:c>
      <x:c r="H363" s="3" t="str">
        <x:v>SDK trace instrumentation and public evaluation artifacts support review and harness repair.</x:v>
      </x:c>
      <x:c r="I363" s="3" t="str">
        <x:v>https://github.com/OpenHands/software-agent-sdk
https://www.openhands.dev/blog/analyzing-and-improving-openhands-index</x:v>
      </x:c>
    </x:row>
    <x:row r="364" ht="49.5" customHeight="1">
      <x:c r="A364" s="3" t="str">
        <x:v>OPENHANDS</x:v>
      </x:c>
      <x:c r="B364" s="3" t="str">
        <x:v>OpenHands Software Agent SDK</x:v>
      </x:c>
      <x:c r="C364" s="3" t="str">
        <x:v>C22</x:v>
      </x:c>
      <x:c r="D364" s="9" t="n">
        <x:v>2</x:v>
      </x:c>
      <x:c r="E364" s="9" t="str">
        <x:v>R</x:v>
      </x:c>
      <x:c r="F364" s="9" t="str">
        <x:v>high</x:v>
      </x:c>
      <x:c r="G364" s="3" t="str">
        <x:v>OH07</x:v>
      </x:c>
      <x:c r="H364" s="3" t="str">
        <x:v>Tokens, cache usage, cost and per-call latency are exposed; complete delegated-work accounting unestablished.</x:v>
      </x:c>
      <x:c r="I364" s="3" t="str">
        <x:v>https://docs.openhands.dev/sdk/guides/metrics</x:v>
      </x:c>
    </x:row>
    <x:row r="365" ht="49.5" customHeight="1">
      <x:c r="A365" s="3" t="str">
        <x:v>OPENHANDS</x:v>
      </x:c>
      <x:c r="B365" s="3" t="str">
        <x:v>OpenHands Software Agent SDK</x:v>
      </x:c>
      <x:c r="C365" s="3" t="str">
        <x:v>C23</x:v>
      </x:c>
      <x:c r="D365" s="9" t="n">
        <x:v>2</x:v>
      </x:c>
      <x:c r="E365" s="9" t="str">
        <x:v>P</x:v>
      </x:c>
      <x:c r="F365" s="9" t="str">
        <x:v>medium</x:v>
      </x:c>
      <x:c r="G365" s="3" t="str">
        <x:v>OH09</x:v>
      </x:c>
      <x:c r="H365" s="3" t="str">
        <x:v>SDK-linked benchmark configurations have measured rerun outcomes; whole-method superiority is unsupported.</x:v>
      </x:c>
      <x:c r="I365" s="3" t="str">
        <x:v>https://www.openhands.dev/blog/analyzing-and-improving-openhands-index</x:v>
      </x:c>
    </x:row>
    <x:row r="366" ht="49.5" customHeight="1">
      <x:c r="A366" s="3" t="str">
        <x:v>OPENHANDS</x:v>
      </x:c>
      <x:c r="B366" s="3" t="str">
        <x:v>OpenHands Software Agent SDK</x:v>
      </x:c>
      <x:c r="C366" s="3" t="str">
        <x:v>C24</x:v>
      </x:c>
      <x:c r="D366" s="9" t="n">
        <x:v>1</x:v>
      </x:c>
      <x:c r="E366" s="9" t="str">
        <x:v>P</x:v>
      </x:c>
      <x:c r="F366" s="9" t="str">
        <x:v>medium</x:v>
      </x:c>
      <x:c r="G366" s="3" t="str">
        <x:v>OH09</x:v>
      </x:c>
      <x:c r="H366" s="3" t="str">
        <x:v>Agent benchmarks and harness repair are partial; fresh-actor complete-method fidelity trials unestablished.</x:v>
      </x:c>
      <x:c r="I366" s="3" t="str">
        <x:v>https://www.openhands.dev/blog/analyzing-and-improving-openhands-index</x:v>
      </x:c>
    </x:row>
    <x:row r="367" ht="49.5" customHeight="1">
      <x:c r="A367" s="3" t="str">
        <x:v>OPENHANDS</x:v>
      </x:c>
      <x:c r="B367" s="3" t="str">
        <x:v>OpenHands Software Agent SDK</x:v>
      </x:c>
      <x:c r="C367" s="3" t="str">
        <x:v>C25</x:v>
      </x:c>
      <x:c r="D367" s="9" t="n">
        <x:v>2</x:v>
      </x:c>
      <x:c r="E367" s="9" t="str">
        <x:v>R</x:v>
      </x:c>
      <x:c r="F367" s="9" t="str">
        <x:v>medium</x:v>
      </x:c>
      <x:c r="G367" s="3" t="str">
        <x:v>OH03
OH10</x:v>
      </x:c>
      <x:c r="H367" s="3" t="str">
        <x:v>Optional injection-pattern analysis and registered-secret output masking exist; general retrieved-instruction authority and data-egress guarantees remain unestablished.</x:v>
      </x:c>
      <x:c r="I367" s="3" t="str">
        <x:v>https://docs.openhands.dev/sdk/guides/security
https://docs.openhands.dev/sdk/guides/secrets</x:v>
      </x:c>
    </x:row>
    <x:row r="368" ht="49.5" customHeight="1">
      <x:c r="A368" s="3" t="str">
        <x:v>OPENHANDS</x:v>
      </x:c>
      <x:c r="B368" s="3" t="str">
        <x:v>OpenHands Software Agent SDK</x:v>
      </x:c>
      <x:c r="C368" s="3" t="str">
        <x:v>C26</x:v>
      </x:c>
      <x:c r="D368" s="9" t="n">
        <x:v>2</x:v>
      </x:c>
      <x:c r="E368" s="9" t="str">
        <x:v>R</x:v>
      </x:c>
      <x:c r="F368" s="9" t="str">
        <x:v>high</x:v>
      </x:c>
      <x:c r="G368" s="3" t="str">
        <x:v>OH04
OH11</x:v>
      </x:c>
      <x:c r="H368" s="3" t="str">
        <x:v>Native goal-audit round cap returns capped. Complete delegated/global spend bounds and immediate cancellation coverage remain unestablished.</x:v>
      </x:c>
      <x:c r="I368" s="3" t="str">
        <x:v>https://docs.openhands.dev/sdk/guides/convo-persistence
https://docs.openhands.dev/sdk/guides/convo-goal</x:v>
      </x:c>
    </x:row>
    <x:row r="369" ht="49.5" customHeight="1">
      <x:c r="A369" s="3" t="str">
        <x:v>LANGGRAPH</x:v>
      </x:c>
      <x:c r="B369" s="3" t="str">
        <x:v>LangGraph</x:v>
      </x:c>
      <x:c r="C369" s="3" t="str">
        <x:v>C01</x:v>
      </x:c>
      <x:c r="D369" s="9" t="n">
        <x:v>1</x:v>
      </x:c>
      <x:c r="E369" s="9" t="str">
        <x:v>G</x:v>
      </x:c>
      <x:c r="F369" s="9" t="str">
        <x:v>medium</x:v>
      </x:c>
      <x:c r="G369" s="3" t="str">
        <x:v>LG02</x:v>
      </x:c>
      <x:c r="H369" s="3" t="str">
        <x:v>Workflow goals and observable example outcomes guide node design; owner exclusions and success authority remain application choices.</x:v>
      </x:c>
      <x:c r="I369" s="3" t="str">
        <x:v>https://docs.langchain.com/oss/python/langgraph/thinking-in-langgraph</x:v>
      </x:c>
    </x:row>
    <x:row r="370" ht="49.5" customHeight="1">
      <x:c r="A370" s="3" t="str">
        <x:v>LANGGRAPH</x:v>
      </x:c>
      <x:c r="B370" s="3" t="str">
        <x:v>LangGraph</x:v>
      </x:c>
      <x:c r="C370" s="3" t="str">
        <x:v>C02</x:v>
      </x:c>
      <x:c r="D370" s="9" t="n">
        <x:v>1</x:v>
      </x:c>
      <x:c r="E370" s="9" t="str">
        <x:v>G</x:v>
      </x:c>
      <x:c r="F370" s="9" t="str">
        <x:v>medium</x:v>
      </x:c>
      <x:c r="G370" s="3" t="str">
        <x:v>LG02</x:v>
      </x:c>
      <x:c r="H370" s="3" t="str">
        <x:v>Design steps map to implementation nodes; recoverable requirements-to-realization traceability is not established by that mapping.</x:v>
      </x:c>
      <x:c r="I370" s="3" t="str">
        <x:v>https://docs.langchain.com/oss/python/langgraph/thinking-in-langgraph</x:v>
      </x:c>
    </x:row>
    <x:row r="371" ht="49.5" customHeight="1">
      <x:c r="A371" s="3" t="str">
        <x:v>LANGGRAPH</x:v>
      </x:c>
      <x:c r="B371" s="3" t="str">
        <x:v>LangGraph</x:v>
      </x:c>
      <x:c r="C371" s="3" t="str">
        <x:v>C03</x:v>
      </x:c>
      <x:c r="D371" s="9" t="n">
        <x:v>1</x:v>
      </x:c>
      <x:c r="E371" s="9" t="str">
        <x:v>R</x:v>
      </x:c>
      <x:c r="F371" s="9" t="str">
        <x:v>medium</x:v>
      </x:c>
      <x:c r="G371" s="3" t="str">
        <x:v>LG03
LG05</x:v>
      </x:c>
      <x:c r="H371" s="3" t="str">
        <x:v>Runtime context, mutable state and thread/checkpoint namespaces differ; semantic subject identity and interpretation require application modeling.</x:v>
      </x:c>
      <x:c r="I371" s="3" t="str">
        <x:v>https://docs.langchain.com/oss/python/langgraph/graph-api
https://docs.langchain.com/oss/python/langgraph/checkpointers</x:v>
      </x:c>
    </x:row>
    <x:row r="372" ht="49.5" customHeight="1">
      <x:c r="A372" s="3" t="str">
        <x:v>LANGGRAPH</x:v>
      </x:c>
      <x:c r="B372" s="3" t="str">
        <x:v>LangGraph</x:v>
      </x:c>
      <x:c r="C372" s="3" t="str">
        <x:v>C04</x:v>
      </x:c>
      <x:c r="D372" s="9" t="n">
        <x:v>1</x:v>
      </x:c>
      <x:c r="E372" s="9" t="str">
        <x:v>R</x:v>
      </x:c>
      <x:c r="F372" s="9" t="str">
        <x:v>high</x:v>
      </x:c>
      <x:c r="G372" s="3" t="str">
        <x:v>LG04</x:v>
      </x:c>
      <x:c r="H372" s="3" t="str">
        <x:v>Schema wrappers and reducers compose state; they do not establish conservation of governing constraints, failures or missing coverage.</x:v>
      </x:c>
      <x:c r="I372" s="3" t="str">
        <x:v>https://docs.langchain.com/oss/python/langgraph/use-subgraphs</x:v>
      </x:c>
    </x:row>
    <x:row r="373" ht="49.5" customHeight="1">
      <x:c r="A373" s="3" t="str">
        <x:v>LANGGRAPH</x:v>
      </x:c>
      <x:c r="B373" s="3" t="str">
        <x:v>LangGraph</x:v>
      </x:c>
      <x:c r="C373" s="3" t="str">
        <x:v>C05</x:v>
      </x:c>
      <x:c r="D373" s="9" t="n">
        <x:v>1</x:v>
      </x:c>
      <x:c r="E373" s="9" t="str">
        <x:v>R</x:v>
      </x:c>
      <x:c r="F373" s="9" t="str">
        <x:v>medium</x:v>
      </x:c>
      <x:c r="G373" s="3" t="str">
        <x:v>LG03</x:v>
      </x:c>
      <x:c r="H373" s="3" t="str">
        <x:v>Migration guidance preserves compatible state and documents renamed-key loss; requirements-dependent support invalidation is not established.</x:v>
      </x:c>
      <x:c r="I373" s="3" t="str">
        <x:v>https://docs.langchain.com/oss/python/langgraph/graph-api</x:v>
      </x:c>
    </x:row>
    <x:row r="374" ht="49.5" customHeight="1">
      <x:c r="A374" s="3" t="str">
        <x:v>LANGGRAPH</x:v>
      </x:c>
      <x:c r="B374" s="3" t="str">
        <x:v>LangGraph</x:v>
      </x:c>
      <x:c r="C374" s="3" t="str">
        <x:v>C06</x:v>
      </x:c>
      <x:c r="D374" s="9" t="str">
        <x:v>NA</x:v>
      </x:c>
      <x:c r="E374" s="9" t="str">
        <x:v>U</x:v>
      </x:c>
      <x:c r="F374" s="9" t="str">
        <x:v>high</x:v>
      </x:c>
      <x:c r="G374" s="3" t="str">
        <x:v>LG01</x:v>
      </x:c>
      <x:c r="H374" s="3" t="str">
        <x:v>Constructed-product qualification and adoption lie outside the orchestration runtime; the application owner or a composed method must govern them.</x:v>
      </x:c>
      <x:c r="I374" s="3" t="str">
        <x:v>https://docs.langchain.com/oss/python/langgraph/overview</x:v>
      </x:c>
    </x:row>
    <x:row r="375" ht="49.5" customHeight="1">
      <x:c r="A375" s="3" t="str">
        <x:v>LANGGRAPH</x:v>
      </x:c>
      <x:c r="B375" s="3" t="str">
        <x:v>LangGraph</x:v>
      </x:c>
      <x:c r="C375" s="3" t="str">
        <x:v>C07</x:v>
      </x:c>
      <x:c r="D375" s="9" t="n">
        <x:v>2</x:v>
      </x:c>
      <x:c r="E375" s="9" t="str">
        <x:v>R</x:v>
      </x:c>
      <x:c r="F375" s="9" t="str">
        <x:v>medium</x:v>
      </x:c>
      <x:c r="G375" s="3" t="str">
        <x:v>LG07</x:v>
      </x:c>
      <x:c r="H375" s="3" t="str">
        <x:v>Namespace-scoped store queries and explicit retrieval limits select context; material source exclusions and sufficiency are application-owned.</x:v>
      </x:c>
      <x:c r="I375" s="3" t="str">
        <x:v>https://docs.langchain.com/oss/python/langgraph/add-memory</x:v>
      </x:c>
    </x:row>
    <x:row r="376" ht="49.5" customHeight="1">
      <x:c r="A376" s="3" t="str">
        <x:v>LANGGRAPH</x:v>
      </x:c>
      <x:c r="B376" s="3" t="str">
        <x:v>LangGraph</x:v>
      </x:c>
      <x:c r="C376" s="3" t="str">
        <x:v>C08</x:v>
      </x:c>
      <x:c r="D376" s="9" t="n">
        <x:v>1</x:v>
      </x:c>
      <x:c r="E376" s="9" t="str">
        <x:v>G</x:v>
      </x:c>
      <x:c r="F376" s="9" t="str">
        <x:v>high</x:v>
      </x:c>
      <x:c r="G376" s="3" t="str">
        <x:v>LG07
LG03</x:v>
      </x:c>
      <x:c r="H376" s="3" t="str">
        <x:v>Token trimming examples and runtime step bounds handle pressure; neither demonstrates truthful fit of all required task context.</x:v>
      </x:c>
      <x:c r="I376" s="3" t="str">
        <x:v>https://docs.langchain.com/oss/python/langgraph/graph-api
https://docs.langchain.com/oss/python/langgraph/add-memory</x:v>
      </x:c>
    </x:row>
    <x:row r="377" ht="49.5" customHeight="1">
      <x:c r="A377" s="3" t="str">
        <x:v>LANGGRAPH</x:v>
      </x:c>
      <x:c r="B377" s="3" t="str">
        <x:v>LangGraph</x:v>
      </x:c>
      <x:c r="C377" s="3" t="str">
        <x:v>C09</x:v>
      </x:c>
      <x:c r="D377" s="9" t="n">
        <x:v>2</x:v>
      </x:c>
      <x:c r="E377" s="9" t="str">
        <x:v>R</x:v>
      </x:c>
      <x:c r="F377" s="9" t="str">
        <x:v>high</x:v>
      </x:c>
      <x:c r="G377" s="3" t="str">
        <x:v>LG04</x:v>
      </x:c>
      <x:c r="H377" s="3" t="str">
        <x:v>Subgraphs support isolated histories, transformations and joins; outer-task obligations and sufficient decomposition remain developer responsibilities.</x:v>
      </x:c>
      <x:c r="I377" s="3" t="str">
        <x:v>https://docs.langchain.com/oss/python/langgraph/use-subgraphs</x:v>
      </x:c>
    </x:row>
    <x:row r="378" ht="49.5" customHeight="1">
      <x:c r="A378" s="3" t="str">
        <x:v>LANGGRAPH</x:v>
      </x:c>
      <x:c r="B378" s="3" t="str">
        <x:v>LangGraph</x:v>
      </x:c>
      <x:c r="C378" s="3" t="str">
        <x:v>C10</x:v>
      </x:c>
      <x:c r="D378" s="9" t="n">
        <x:v>3</x:v>
      </x:c>
      <x:c r="E378" s="9" t="str">
        <x:v>R</x:v>
      </x:c>
      <x:c r="F378" s="9" t="str">
        <x:v>high</x:v>
      </x:c>
      <x:c r="G378" s="3" t="str">
        <x:v>LG05
LG03</x:v>
      </x:c>
      <x:c r="H378" s="3" t="str">
        <x:v>Durable checkpointers persist graph state and successful pending writes across restarts; saved-state/schema compatibility has explicit limits.</x:v>
      </x:c>
      <x:c r="I378" s="3" t="str">
        <x:v>https://docs.langchain.com/oss/python/langgraph/graph-api
https://docs.langchain.com/oss/python/langgraph/checkpointers</x:v>
      </x:c>
    </x:row>
    <x:row r="379" ht="49.5" customHeight="1">
      <x:c r="A379" s="3" t="str">
        <x:v>LANGGRAPH</x:v>
      </x:c>
      <x:c r="B379" s="3" t="str">
        <x:v>LangGraph</x:v>
      </x:c>
      <x:c r="C379" s="3" t="str">
        <x:v>C11</x:v>
      </x:c>
      <x:c r="D379" s="9" t="n">
        <x:v>2</x:v>
      </x:c>
      <x:c r="E379" s="9" t="str">
        <x:v>R</x:v>
      </x:c>
      <x:c r="F379" s="9" t="str">
        <x:v>medium</x:v>
      </x:c>
      <x:c r="G379" s="3" t="str">
        <x:v>LG02
LG03</x:v>
      </x:c>
      <x:c r="H379" s="3" t="str">
        <x:v>Distinct retry, model-recoverable, user-input and unexpected-error paths support bounded next actions; epistemic unknowns need application state.</x:v>
      </x:c>
      <x:c r="I379" s="3" t="str">
        <x:v>https://docs.langchain.com/oss/python/langgraph/thinking-in-langgraph
https://docs.langchain.com/oss/python/langgraph/graph-api</x:v>
      </x:c>
    </x:row>
    <x:row r="380" ht="49.5" customHeight="1">
      <x:c r="A380" s="3" t="str">
        <x:v>LANGGRAPH</x:v>
      </x:c>
      <x:c r="B380" s="3" t="str">
        <x:v>LangGraph</x:v>
      </x:c>
      <x:c r="C380" s="3" t="str">
        <x:v>C12</x:v>
      </x:c>
      <x:c r="D380" s="9" t="n">
        <x:v>2</x:v>
      </x:c>
      <x:c r="E380" s="9" t="str">
        <x:v>G</x:v>
      </x:c>
      <x:c r="F380" s="9" t="str">
        <x:v>high</x:v>
      </x:c>
      <x:c r="G380" s="3" t="str">
        <x:v>LG06
LG05</x:v>
      </x:c>
      <x:c r="H380" s="3" t="str">
        <x:v>Replay can repeat API calls; docs require idempotent pre-interrupt effects or separate effect nodes. Checkpoints do not guarantee exactly-once external effects.</x:v>
      </x:c>
      <x:c r="I380" s="3" t="str">
        <x:v>https://docs.langchain.com/oss/python/langgraph/checkpointers
https://docs.langchain.com/oss/python/langgraph/interrupts</x:v>
      </x:c>
    </x:row>
    <x:row r="381" ht="49.5" customHeight="1">
      <x:c r="A381" s="3" t="str">
        <x:v>LANGGRAPH</x:v>
      </x:c>
      <x:c r="B381" s="3" t="str">
        <x:v>LangGraph</x:v>
      </x:c>
      <x:c r="C381" s="3" t="str">
        <x:v>C13</x:v>
      </x:c>
      <x:c r="D381" s="9" t="n">
        <x:v>2</x:v>
      </x:c>
      <x:c r="E381" s="9" t="str">
        <x:v>R</x:v>
      </x:c>
      <x:c r="F381" s="9" t="str">
        <x:v>high</x:v>
      </x:c>
      <x:c r="G381" s="3" t="str">
        <x:v>LG06</x:v>
      </x:c>
      <x:c r="H381" s="3" t="str">
        <x:v>Conditional interrupts can gate an identified effect on approval before execution; exact grants and authorization policy are caller-authored.</x:v>
      </x:c>
      <x:c r="I381" s="3" t="str">
        <x:v>https://docs.langchain.com/oss/python/langgraph/interrupts</x:v>
      </x:c>
    </x:row>
    <x:row r="382" ht="49.5" customHeight="1">
      <x:c r="A382" s="3" t="str">
        <x:v>LANGGRAPH</x:v>
      </x:c>
      <x:c r="B382" s="3" t="str">
        <x:v>LangGraph</x:v>
      </x:c>
      <x:c r="C382" s="3" t="str">
        <x:v>C14</x:v>
      </x:c>
      <x:c r="D382" s="9" t="str">
        <x:v>U</x:v>
      </x:c>
      <x:c r="E382" s="9" t="str">
        <x:v>U</x:v>
      </x:c>
      <x:c r="F382" s="9" t="str">
        <x:v>medium</x:v>
      </x:c>
      <x:c r="G382" s="3" t="str">
        <x:v>LG06
LG10</x:v>
      </x:c>
      <x:c r="H382" s="3" t="str">
        <x:v>Approval and evaluators are available; inspected guidance does not establish claim-relative independence of author, reference and assessor.</x:v>
      </x:c>
      <x:c r="I382" s="3" t="str">
        <x:v>https://docs.langchain.com/oss/python/langgraph/interrupts
https://docs.langchain.com/langsmith/evaluation-types</x:v>
      </x:c>
    </x:row>
    <x:row r="383" ht="49.5" customHeight="1">
      <x:c r="A383" s="3" t="str">
        <x:v>LANGGRAPH</x:v>
      </x:c>
      <x:c r="B383" s="3" t="str">
        <x:v>LangGraph</x:v>
      </x:c>
      <x:c r="C383" s="3" t="str">
        <x:v>C15</x:v>
      </x:c>
      <x:c r="D383" s="9" t="n">
        <x:v>2</x:v>
      </x:c>
      <x:c r="E383" s="9" t="str">
        <x:v>R</x:v>
      </x:c>
      <x:c r="F383" s="9" t="str">
        <x:v>high</x:v>
      </x:c>
      <x:c r="G383" s="3" t="str">
        <x:v>LG10</x:v>
      </x:c>
      <x:c r="H383" s="3" t="str">
        <x:v>Optional LangSmith uses separately curated reference answers/tool calls; checking faulty evaluators requires additional authored controls.</x:v>
      </x:c>
      <x:c r="I383" s="3" t="str">
        <x:v>https://docs.langchain.com/langsmith/evaluation-types</x:v>
      </x:c>
    </x:row>
    <x:row r="384" ht="49.5" customHeight="1">
      <x:c r="A384" s="3" t="str">
        <x:v>LANGGRAPH</x:v>
      </x:c>
      <x:c r="B384" s="3" t="str">
        <x:v>LangGraph</x:v>
      </x:c>
      <x:c r="C384" s="3" t="str">
        <x:v>C16</x:v>
      </x:c>
      <x:c r="D384" s="9" t="n">
        <x:v>1</x:v>
      </x:c>
      <x:c r="E384" s="9" t="str">
        <x:v>R</x:v>
      </x:c>
      <x:c r="F384" s="9" t="str">
        <x:v>medium</x:v>
      </x:c>
      <x:c r="G384" s="3" t="str">
        <x:v>LG06</x:v>
      </x:c>
      <x:c r="H384" s="3" t="str">
        <x:v>Application graph outputs and human decisions can be separated; semantic claim, evidence, judgment and owner acceptance relations are not prescribed.</x:v>
      </x:c>
      <x:c r="I384" s="3" t="str">
        <x:v>https://docs.langchain.com/oss/python/langgraph/interrupts</x:v>
      </x:c>
    </x:row>
    <x:row r="385" ht="49.5" customHeight="1">
      <x:c r="A385" s="3" t="str">
        <x:v>LANGGRAPH</x:v>
      </x:c>
      <x:c r="B385" s="3" t="str">
        <x:v>LangGraph</x:v>
      </x:c>
      <x:c r="C385" s="3" t="str">
        <x:v>C17</x:v>
      </x:c>
      <x:c r="D385" s="9" t="n">
        <x:v>2</x:v>
      </x:c>
      <x:c r="E385" s="9" t="str">
        <x:v>R</x:v>
      </x:c>
      <x:c r="F385" s="9" t="str">
        <x:v>high</x:v>
      </x:c>
      <x:c r="G385" s="3" t="str">
        <x:v>LG05</x:v>
      </x:c>
      <x:c r="H385" s="3" t="str">
        <x:v>Snapshots bind thread, checkpoint, namespace, parent, writes and tasks; exact evidence-subject verdict scope is additional application data.</x:v>
      </x:c>
      <x:c r="I385" s="3" t="str">
        <x:v>https://docs.langchain.com/oss/python/langgraph/checkpointers</x:v>
      </x:c>
    </x:row>
    <x:row r="386" ht="49.5" customHeight="1">
      <x:c r="A386" s="3" t="str">
        <x:v>LANGGRAPH</x:v>
      </x:c>
      <x:c r="B386" s="3" t="str">
        <x:v>LangGraph</x:v>
      </x:c>
      <x:c r="C386" s="3" t="str">
        <x:v>C18</x:v>
      </x:c>
      <x:c r="D386" s="9" t="n">
        <x:v>2</x:v>
      </x:c>
      <x:c r="E386" s="9" t="str">
        <x:v>R</x:v>
      </x:c>
      <x:c r="F386" s="9" t="str">
        <x:v>medium</x:v>
      </x:c>
      <x:c r="G386" s="3" t="str">
        <x:v>LG08
LG10</x:v>
      </x:c>
      <x:c r="H386" s="3" t="str">
        <x:v>Native pytest patterns plus optional LangSmith regression datasets support repeatable cases; refusal and changed-basis suites must be authored.</x:v>
      </x:c>
      <x:c r="I386" s="3" t="str">
        <x:v>https://docs.langchain.com/oss/python/langgraph/test
https://docs.langchain.com/langsmith/evaluation-types</x:v>
      </x:c>
    </x:row>
    <x:row r="387" ht="49.5" customHeight="1">
      <x:c r="A387" s="3" t="str">
        <x:v>LANGGRAPH</x:v>
      </x:c>
      <x:c r="B387" s="3" t="str">
        <x:v>LangGraph</x:v>
      </x:c>
      <x:c r="C387" s="3" t="str">
        <x:v>C19</x:v>
      </x:c>
      <x:c r="D387" s="9" t="n">
        <x:v>3</x:v>
      </x:c>
      <x:c r="E387" s="9" t="str">
        <x:v>G</x:v>
      </x:c>
      <x:c r="F387" s="9" t="str">
        <x:v>high</x:v>
      </x:c>
      <x:c r="G387" s="3" t="str">
        <x:v>LG01
LG08</x:v>
      </x:c>
      <x:c r="H387" s="3" t="str">
        <x:v>Public installation, minimal graph and testing guides provide an ordinary entry path without private validator knowledge.</x:v>
      </x:c>
      <x:c r="I387" s="3" t="str">
        <x:v>https://docs.langchain.com/oss/python/langgraph/overview
https://docs.langchain.com/oss/python/langgraph/test</x:v>
      </x:c>
    </x:row>
    <x:row r="388" ht="49.5" customHeight="1">
      <x:c r="A388" s="3" t="str">
        <x:v>LANGGRAPH</x:v>
      </x:c>
      <x:c r="B388" s="3" t="str">
        <x:v>LangGraph</x:v>
      </x:c>
      <x:c r="C388" s="3" t="str">
        <x:v>C20</x:v>
      </x:c>
      <x:c r="D388" s="9" t="n">
        <x:v>2</x:v>
      </x:c>
      <x:c r="E388" s="9" t="str">
        <x:v>R</x:v>
      </x:c>
      <x:c r="F388" s="9" t="str">
        <x:v>medium</x:v>
      </x:c>
      <x:c r="G388" s="3" t="str">
        <x:v>LG04
LG03</x:v>
      </x:c>
      <x:c r="H388" s="3" t="str">
        <x:v>Reusable compiled subgraphs and explicit state/context schemas travel across applications; source-linked semantic instructions are not automatically carried.</x:v>
      </x:c>
      <x:c r="I388" s="3" t="str">
        <x:v>https://docs.langchain.com/oss/python/langgraph/graph-api
https://docs.langchain.com/oss/python/langgraph/use-subgraphs</x:v>
      </x:c>
    </x:row>
    <x:row r="389" ht="49.5" customHeight="1">
      <x:c r="A389" s="3" t="str">
        <x:v>LANGGRAPH</x:v>
      </x:c>
      <x:c r="B389" s="3" t="str">
        <x:v>LangGraph</x:v>
      </x:c>
      <x:c r="C389" s="3" t="str">
        <x:v>C21</x:v>
      </x:c>
      <x:c r="D389" s="9" t="n">
        <x:v>2</x:v>
      </x:c>
      <x:c r="E389" s="9" t="str">
        <x:v>R</x:v>
      </x:c>
      <x:c r="F389" s="9" t="str">
        <x:v>high</x:v>
      </x:c>
      <x:c r="G389" s="3" t="str">
        <x:v>LG08
LG10</x:v>
      </x:c>
      <x:c r="H389" s="3" t="str">
        <x:v>Testing patterns integrate with Python tests; trace review, offline/online evaluation and feedback are optional LangSmith capabilities.</x:v>
      </x:c>
      <x:c r="I389" s="3" t="str">
        <x:v>https://docs.langchain.com/oss/python/langgraph/test
https://docs.langchain.com/langsmith/evaluation-types</x:v>
      </x:c>
    </x:row>
    <x:row r="390" ht="49.5" customHeight="1">
      <x:c r="A390" s="3" t="str">
        <x:v>LANGGRAPH</x:v>
      </x:c>
      <x:c r="B390" s="3" t="str">
        <x:v>LangGraph</x:v>
      </x:c>
      <x:c r="C390" s="3" t="str">
        <x:v>C22</x:v>
      </x:c>
      <x:c r="D390" s="9" t="n">
        <x:v>1</x:v>
      </x:c>
      <x:c r="E390" s="9" t="str">
        <x:v>R</x:v>
      </x:c>
      <x:c r="F390" s="9" t="str">
        <x:v>medium</x:v>
      </x:c>
      <x:c r="G390" s="3" t="str">
        <x:v>LG03
LG05
LG01</x:v>
      </x:c>
      <x:c r="H390" s="3" t="str">
        <x:v>Native steps/checkpoint events expose execution progress; richer metrics use LangSmith. Complete context, transfer, delegated-work and cost accounting is unestablished.</x:v>
      </x:c>
      <x:c r="I390" s="3" t="str">
        <x:v>https://docs.langchain.com/oss/python/langgraph/overview
https://docs.langchain.com/oss/python/langgraph/graph-api
https://docs.langchain.com/oss/python/langgraph/checkpointers</x:v>
      </x:c>
    </x:row>
    <x:row r="391" ht="49.5" customHeight="1">
      <x:c r="A391" s="3" t="str">
        <x:v>LANGGRAPH</x:v>
      </x:c>
      <x:c r="B391" s="3" t="str">
        <x:v>LangGraph</x:v>
      </x:c>
      <x:c r="C391" s="3" t="str">
        <x:v>C23</x:v>
      </x:c>
      <x:c r="D391" s="9" t="str">
        <x:v>U</x:v>
      </x:c>
      <x:c r="E391" s="9" t="str">
        <x:v>U</x:v>
      </x:c>
      <x:c r="F391" s="9" t="str">
        <x:v>medium</x:v>
      </x:c>
      <x:c r="G391" s="3" t="str">
        <x:v>LG01
LG10</x:v>
      </x:c>
      <x:c r="H391" s="3" t="str">
        <x:v>Adoption claims and evaluation tooling do not supply a matched measured effectiveness experiment for the selected runtime.</x:v>
      </x:c>
      <x:c r="I391" s="3" t="str">
        <x:v>https://docs.langchain.com/oss/python/langgraph/overview
https://docs.langchain.com/langsmith/evaluation-types</x:v>
      </x:c>
    </x:row>
    <x:row r="392" ht="49.5" customHeight="1">
      <x:c r="A392" s="3" t="str">
        <x:v>LANGGRAPH</x:v>
      </x:c>
      <x:c r="B392" s="3" t="str">
        <x:v>LangGraph</x:v>
      </x:c>
      <x:c r="C392" s="3" t="str">
        <x:v>C24</x:v>
      </x:c>
      <x:c r="D392" s="9" t="str">
        <x:v>U</x:v>
      </x:c>
      <x:c r="E392" s="9" t="str">
        <x:v>U</x:v>
      </x:c>
      <x:c r="F392" s="9" t="str">
        <x:v>medium</x:v>
      </x:c>
      <x:c r="G392" s="3" t="str">
        <x:v>LG08
LG05</x:v>
      </x:c>
      <x:c r="H392" s="3" t="str">
        <x:v>Graph tests and checkpointer conformance tests do not demonstrate fresh-actor instruction fidelity or faulty-guidance/oracle controls.</x:v>
      </x:c>
      <x:c r="I392" s="3" t="str">
        <x:v>https://docs.langchain.com/oss/python/langgraph/checkpointers
https://docs.langchain.com/oss/python/langgraph/test</x:v>
      </x:c>
    </x:row>
    <x:row r="393" ht="49.5" customHeight="1">
      <x:c r="A393" s="3" t="str">
        <x:v>LANGGRAPH</x:v>
      </x:c>
      <x:c r="B393" s="3" t="str">
        <x:v>LangGraph</x:v>
      </x:c>
      <x:c r="C393" s="3" t="str">
        <x:v>C25</x:v>
      </x:c>
      <x:c r="D393" s="9" t="str">
        <x:v>U</x:v>
      </x:c>
      <x:c r="E393" s="9" t="str">
        <x:v>U</x:v>
      </x:c>
      <x:c r="F393" s="9" t="str">
        <x:v>medium</x:v>
      </x:c>
      <x:c r="G393" s="3" t="str">
        <x:v>LG06
LG07</x:v>
      </x:c>
      <x:c r="H393" s="3" t="str">
        <x:v>Scoped retrieval and approval interrupts do not establish instruction-trust or secret-egress boundaries in the inspected core-runtime documentation; no generic injection-prevention claim follows.</x:v>
      </x:c>
      <x:c r="I393" s="3" t="str">
        <x:v>https://docs.langchain.com/oss/python/langgraph/interrupts
https://docs.langchain.com/oss/python/langgraph/add-memory</x:v>
      </x:c>
    </x:row>
    <x:row r="394" ht="63" customHeight="1">
      <x:c r="A394" s="3" t="str">
        <x:v>LANGGRAPH</x:v>
      </x:c>
      <x:c r="B394" s="3" t="str">
        <x:v>LangGraph</x:v>
      </x:c>
      <x:c r="C394" s="3" t="str">
        <x:v>C26</x:v>
      </x:c>
      <x:c r="D394" s="9" t="n">
        <x:v>2</x:v>
      </x:c>
      <x:c r="E394" s="9" t="str">
        <x:v>R</x:v>
      </x:c>
      <x:c r="F394" s="9" t="str">
        <x:v>high</x:v>
      </x:c>
      <x:c r="G394" s="3" t="str">
        <x:v>LG03
LG11</x:v>
      </x:c>
      <x:c r="H394" s="3" t="str">
        <x:v>Step/concurrency/retry ceilings and &gt;=1.2 async-node attempt timeouts are explicit. Timeouts discard buffered writes, reset on retry and cannot safely stop synchronous nodes; defaults exclude subgraphs. Native spend/token billing ceilings remain unestablished.</x:v>
      </x:c>
      <x:c r="I394" s="3" t="str">
        <x:v>https://docs.langchain.com/oss/python/langgraph/graph-api
https://docs.langchain.com/oss/python/langgraph/use-graph-api</x:v>
      </x:c>
    </x:row>
    <x:row r="395" ht="49.5" customHeight="1">
      <x:c r="A395" s="3" t="str">
        <x:v>MAF</x:v>
      </x:c>
      <x:c r="B395" s="3" t="str">
        <x:v>Microsoft Agent Framework</x:v>
      </x:c>
      <x:c r="C395" s="3" t="str">
        <x:v>C01</x:v>
      </x:c>
      <x:c r="D395" s="9" t="n">
        <x:v>1</x:v>
      </x:c>
      <x:c r="E395" s="9" t="str">
        <x:v>R</x:v>
      </x:c>
      <x:c r="F395" s="9" t="str">
        <x:v>medium</x:v>
      </x:c>
      <x:c r="G395" s="3" t="str">
        <x:v>MF01
MF05</x:v>
      </x:c>
      <x:c r="H395" s="3" t="str">
        <x:v>Instructions, named agents and caller input define work; owner exclusions and observable outcome obligations remain application-authored.</x:v>
      </x:c>
      <x:c r="I395" s="3" t="str">
        <x:v>https://github.com/microsoft/agent-framework
https://learn.microsoft.com/en-us/agent-framework/migration-guide/from-autogen/</x:v>
      </x:c>
    </x:row>
    <x:row r="396" ht="49.5" customHeight="1">
      <x:c r="A396" s="3" t="str">
        <x:v>MAF</x:v>
      </x:c>
      <x:c r="B396" s="3" t="str">
        <x:v>Microsoft Agent Framework</x:v>
      </x:c>
      <x:c r="C396" s="3" t="str">
        <x:v>C02</x:v>
      </x:c>
      <x:c r="D396" s="9" t="n">
        <x:v>1</x:v>
      </x:c>
      <x:c r="E396" s="9" t="str">
        <x:v>R</x:v>
      </x:c>
      <x:c r="F396" s="9" t="str">
        <x:v>medium</x:v>
      </x:c>
      <x:c r="G396" s="3" t="str">
        <x:v>MF01</x:v>
      </x:c>
      <x:c r="H396" s="3" t="str">
        <x:v>Declarative configuration and graph implementation are separable; requirements-to-realization support traceability is not demonstrated.</x:v>
      </x:c>
      <x:c r="I396" s="3" t="str">
        <x:v>https://github.com/microsoft/agent-framework</x:v>
      </x:c>
    </x:row>
    <x:row r="397" ht="49.5" customHeight="1">
      <x:c r="A397" s="3" t="str">
        <x:v>MAF</x:v>
      </x:c>
      <x:c r="B397" s="3" t="str">
        <x:v>Microsoft Agent Framework</x:v>
      </x:c>
      <x:c r="C397" s="3" t="str">
        <x:v>C03</x:v>
      </x:c>
      <x:c r="D397" s="9" t="n">
        <x:v>1</x:v>
      </x:c>
      <x:c r="E397" s="9" t="str">
        <x:v>R</x:v>
      </x:c>
      <x:c r="F397" s="9" t="str">
        <x:v>medium</x:v>
      </x:c>
      <x:c r="G397" s="3" t="str">
        <x:v>MF05
MF07</x:v>
      </x:c>
      <x:c r="H397" s="3" t="str">
        <x:v>Agent sessions, executor identities, messages and workflow state differ; semantic subject representation and interpretation are not governed.</x:v>
      </x:c>
      <x:c r="I397" s="3" t="str">
        <x:v>https://learn.microsoft.com/en-us/agent-framework/migration-guide/from-autogen/
https://learn.microsoft.com/en-us/agent-framework/workflows/checkpoints</x:v>
      </x:c>
    </x:row>
    <x:row r="398" ht="49.5" customHeight="1">
      <x:c r="A398" s="3" t="str">
        <x:v>MAF</x:v>
      </x:c>
      <x:c r="B398" s="3" t="str">
        <x:v>Microsoft Agent Framework</x:v>
      </x:c>
      <x:c r="C398" s="3" t="str">
        <x:v>C04</x:v>
      </x:c>
      <x:c r="D398" s="9" t="n">
        <x:v>1</x:v>
      </x:c>
      <x:c r="E398" s="9" t="str">
        <x:v>R</x:v>
      </x:c>
      <x:c r="F398" s="9" t="str">
        <x:v>high</x:v>
      </x:c>
      <x:c r="G398" s="3" t="str">
        <x:v>MF08
MF16</x:v>
      </x:c>
      <x:c r="H398" s="3" t="str">
        <x:v>Typed routing and fan-in compose workflow results; outer requirements, unresolved failures and missing support are not conserved automatically.</x:v>
      </x:c>
      <x:c r="I398" s="3" t="str">
        <x:v>https://learn.microsoft.com/en-us/agent-framework/concepts/workflows/functional
https://learn.microsoft.com/en-us/agent-framework/workflows/orchestrations/</x:v>
      </x:c>
    </x:row>
    <x:row r="399" ht="49.5" customHeight="1">
      <x:c r="A399" s="3" t="str">
        <x:v>MAF</x:v>
      </x:c>
      <x:c r="B399" s="3" t="str">
        <x:v>Microsoft Agent Framework</x:v>
      </x:c>
      <x:c r="C399" s="3" t="str">
        <x:v>C05</x:v>
      </x:c>
      <x:c r="D399" s="9" t="n">
        <x:v>1</x:v>
      </x:c>
      <x:c r="E399" s="9" t="str">
        <x:v>R</x:v>
      </x:c>
      <x:c r="F399" s="9" t="str">
        <x:v>high</x:v>
      </x:c>
      <x:c r="G399" s="3" t="str">
        <x:v>MF07</x:v>
      </x:c>
      <x:c r="H399" s="3" t="str">
        <x:v>Rehydration rejects changed topology or executor identity; reopening requirements-dependent support is beyond those structural compatibility checks.</x:v>
      </x:c>
      <x:c r="I399" s="3" t="str">
        <x:v>https://learn.microsoft.com/en-us/agent-framework/workflows/checkpoints</x:v>
      </x:c>
    </x:row>
    <x:row r="400" ht="49.5" customHeight="1">
      <x:c r="A400" s="3" t="str">
        <x:v>MAF</x:v>
      </x:c>
      <x:c r="B400" s="3" t="str">
        <x:v>Microsoft Agent Framework</x:v>
      </x:c>
      <x:c r="C400" s="3" t="str">
        <x:v>C06</x:v>
      </x:c>
      <x:c r="D400" s="9" t="str">
        <x:v>NA</x:v>
      </x:c>
      <x:c r="E400" s="9" t="str">
        <x:v>U</x:v>
      </x:c>
      <x:c r="F400" s="9" t="str">
        <x:v>high</x:v>
      </x:c>
      <x:c r="G400" s="3" t="str">
        <x:v>MF01</x:v>
      </x:c>
      <x:c r="H400" s="3" t="str">
        <x:v>SDK execution does not govern constructed-product release/adoption. Application owners or a composed qualification method supply that authority.</x:v>
      </x:c>
      <x:c r="I400" s="3" t="str">
        <x:v>https://github.com/microsoft/agent-framework</x:v>
      </x:c>
    </x:row>
    <x:row r="401" ht="49.5" customHeight="1">
      <x:c r="A401" s="3" t="str">
        <x:v>MAF</x:v>
      </x:c>
      <x:c r="B401" s="3" t="str">
        <x:v>Microsoft Agent Framework</x:v>
      </x:c>
      <x:c r="C401" s="3" t="str">
        <x:v>C07</x:v>
      </x:c>
      <x:c r="D401" s="9" t="n">
        <x:v>2</x:v>
      </x:c>
      <x:c r="E401" s="9" t="str">
        <x:v>R</x:v>
      </x:c>
      <x:c r="F401" s="9" t="str">
        <x:v>high</x:v>
      </x:c>
      <x:c r="G401" s="3" t="str">
        <x:v>MF10
MF15</x:v>
      </x:c>
      <x:c r="H401" s="3" t="str">
        <x:v>Skills progressively load relevant resources; registered providers scope retrieval. Required-source sufficiency and material exclusions remain caller choices.</x:v>
      </x:c>
      <x:c r="I401" s="3" t="str">
        <x:v>https://learn.microsoft.com/en-us/agent-framework/agents/skills
https://learn.microsoft.com/en-us/agent-framework/journey/adding-context-providers</x:v>
      </x:c>
    </x:row>
    <x:row r="402" ht="49.5" customHeight="1">
      <x:c r="A402" s="3" t="str">
        <x:v>MAF</x:v>
      </x:c>
      <x:c r="B402" s="3" t="str">
        <x:v>Microsoft Agent Framework</x:v>
      </x:c>
      <x:c r="C402" s="3" t="str">
        <x:v>C08</x:v>
      </x:c>
      <x:c r="D402" s="9" t="n">
        <x:v>1</x:v>
      </x:c>
      <x:c r="E402" s="9" t="str">
        <x:v>G</x:v>
      </x:c>
      <x:c r="F402" s="9" t="str">
        <x:v>high</x:v>
      </x:c>
      <x:c r="G402" s="3" t="str">
        <x:v>MF15</x:v>
      </x:c>
      <x:c r="H402" s="3" t="str">
        <x:v>Docs warn that combined injected context consumes tokens and may truncate silently; compaction guidance does not establish truthful required-context fit.</x:v>
      </x:c>
      <x:c r="I402" s="3" t="str">
        <x:v>https://learn.microsoft.com/en-us/agent-framework/journey/adding-context-providers</x:v>
      </x:c>
    </x:row>
    <x:row r="403" ht="49.5" customHeight="1">
      <x:c r="A403" s="3" t="str">
        <x:v>MAF</x:v>
      </x:c>
      <x:c r="B403" s="3" t="str">
        <x:v>Microsoft Agent Framework</x:v>
      </x:c>
      <x:c r="C403" s="3" t="str">
        <x:v>C09</x:v>
      </x:c>
      <x:c r="D403" s="9" t="n">
        <x:v>2</x:v>
      </x:c>
      <x:c r="E403" s="9" t="str">
        <x:v>R</x:v>
      </x:c>
      <x:c r="F403" s="9" t="str">
        <x:v>high</x:v>
      </x:c>
      <x:c r="G403" s="3" t="str">
        <x:v>MF08
MF16</x:v>
      </x:c>
      <x:c r="H403" s="3" t="str">
        <x:v>Concurrency, handoff and manager orchestration support delegation and joins; sufficient decomposition and outer-task constraint preservation need authored logic.</x:v>
      </x:c>
      <x:c r="I403" s="3" t="str">
        <x:v>https://learn.microsoft.com/en-us/agent-framework/concepts/workflows/functional
https://learn.microsoft.com/en-us/agent-framework/workflows/orchestrations/</x:v>
      </x:c>
    </x:row>
    <x:row r="404" ht="49.5" customHeight="1">
      <x:c r="A404" s="3" t="str">
        <x:v>MAF</x:v>
      </x:c>
      <x:c r="B404" s="3" t="str">
        <x:v>Microsoft Agent Framework</x:v>
      </x:c>
      <x:c r="C404" s="3" t="str">
        <x:v>C10</x:v>
      </x:c>
      <x:c r="D404" s="9" t="n">
        <x:v>3</x:v>
      </x:c>
      <x:c r="E404" s="9" t="str">
        <x:v>R</x:v>
      </x:c>
      <x:c r="F404" s="9" t="str">
        <x:v>high</x:v>
      </x:c>
      <x:c r="G404" s="3" t="str">
        <x:v>MF07</x:v>
      </x:c>
      <x:c r="H404" s="3" t="str">
        <x:v>Checkpoints capture executors, pending messages/requests and shared state; fresh-instance restoration has explicit topology and stable-identity conditions.</x:v>
      </x:c>
      <x:c r="I404" s="3" t="str">
        <x:v>https://learn.microsoft.com/en-us/agent-framework/workflows/checkpoints</x:v>
      </x:c>
    </x:row>
    <x:row r="405" ht="49.5" customHeight="1">
      <x:c r="A405" s="3" t="str">
        <x:v>MAF</x:v>
      </x:c>
      <x:c r="B405" s="3" t="str">
        <x:v>Microsoft Agent Framework</x:v>
      </x:c>
      <x:c r="C405" s="3" t="str">
        <x:v>C11</x:v>
      </x:c>
      <x:c r="D405" s="9" t="n">
        <x:v>2</x:v>
      </x:c>
      <x:c r="E405" s="9" t="str">
        <x:v>R</x:v>
      </x:c>
      <x:c r="F405" s="9" t="str">
        <x:v>high</x:v>
      </x:c>
      <x:c r="G405" s="3" t="str">
        <x:v>MF08</x:v>
      </x:c>
      <x:c r="H405" s="3" t="str">
        <x:v>Workflow states distinguish pending requests from completion, and resume validates response types; invalid epistemic basis requires application modeling.</x:v>
      </x:c>
      <x:c r="I405" s="3" t="str">
        <x:v>https://learn.microsoft.com/en-us/agent-framework/concepts/workflows/functional</x:v>
      </x:c>
    </x:row>
    <x:row r="406" ht="49.5" customHeight="1">
      <x:c r="A406" s="3" t="str">
        <x:v>MAF</x:v>
      </x:c>
      <x:c r="B406" s="3" t="str">
        <x:v>Microsoft Agent Framework</x:v>
      </x:c>
      <x:c r="C406" s="3" t="str">
        <x:v>C12</x:v>
      </x:c>
      <x:c r="D406" s="9" t="n">
        <x:v>2</x:v>
      </x:c>
      <x:c r="E406" s="9" t="str">
        <x:v>R</x:v>
      </x:c>
      <x:c r="F406" s="9" t="str">
        <x:v>high</x:v>
      </x:c>
      <x:c r="G406" s="3" t="str">
        <x:v>MF08</x:v>
      </x:c>
      <x:c r="H406" s="3" t="str">
        <x:v>Cached steps use stable logical replay identity and reject ambiguous legacy concurrent hits; external effect/checkpoint gaps still require application reconciliation.</x:v>
      </x:c>
      <x:c r="I406" s="3" t="str">
        <x:v>https://learn.microsoft.com/en-us/agent-framework/concepts/workflows/functional</x:v>
      </x:c>
    </x:row>
    <x:row r="407" ht="49.5" customHeight="1">
      <x:c r="A407" s="3" t="str">
        <x:v>MAF</x:v>
      </x:c>
      <x:c r="B407" s="3" t="str">
        <x:v>Microsoft Agent Framework</x:v>
      </x:c>
      <x:c r="C407" s="3" t="str">
        <x:v>C13</x:v>
      </x:c>
      <x:c r="D407" s="9" t="n">
        <x:v>2</x:v>
      </x:c>
      <x:c r="E407" s="9" t="str">
        <x:v>R</x:v>
      </x:c>
      <x:c r="F407" s="9" t="str">
        <x:v>high</x:v>
      </x:c>
      <x:c r="G407" s="3" t="str">
        <x:v>MF09
MF11</x:v>
      </x:c>
      <x:c r="H407" s="3" t="str">
        <x:v>Tool approval and opt-in FIDES block scoped effects before execution; exact authorization grants and authenticated human response channels remain application responsibilities.</x:v>
      </x:c>
      <x:c r="I407" s="3" t="str">
        <x:v>https://learn.microsoft.com/en-us/agent-framework/workflows/human-in-the-loop
https://learn.microsoft.com/en-us/agent-framework/agents/security</x:v>
      </x:c>
    </x:row>
    <x:row r="408" ht="49.5" customHeight="1">
      <x:c r="A408" s="3" t="str">
        <x:v>MAF</x:v>
      </x:c>
      <x:c r="B408" s="3" t="str">
        <x:v>Microsoft Agent Framework</x:v>
      </x:c>
      <x:c r="C408" s="3" t="str">
        <x:v>C14</x:v>
      </x:c>
      <x:c r="D408" s="9" t="str">
        <x:v>U</x:v>
      </x:c>
      <x:c r="E408" s="9" t="str">
        <x:v>U</x:v>
      </x:c>
      <x:c r="F408" s="9" t="str">
        <x:v>medium</x:v>
      </x:c>
      <x:c r="G408" s="3" t="str">
        <x:v>MF09
MF16</x:v>
      </x:c>
      <x:c r="H408" s="3" t="str">
        <x:v>Human responses and reviewer orchestration do not establish claim-relative independence of generation, references, evidence and assessment.</x:v>
      </x:c>
      <x:c r="I408" s="3" t="str">
        <x:v>https://learn.microsoft.com/en-us/agent-framework/workflows/human-in-the-loop
https://learn.microsoft.com/en-us/agent-framework/workflows/orchestrations/</x:v>
      </x:c>
    </x:row>
    <x:row r="409" ht="49.5" customHeight="1">
      <x:c r="A409" s="3" t="str">
        <x:v>MAF</x:v>
      </x:c>
      <x:c r="B409" s="3" t="str">
        <x:v>Microsoft Agent Framework</x:v>
      </x:c>
      <x:c r="C409" s="3" t="str">
        <x:v>C15</x:v>
      </x:c>
      <x:c r="D409" s="9" t="n">
        <x:v>2</x:v>
      </x:c>
      <x:c r="E409" s="9" t="str">
        <x:v>R</x:v>
      </x:c>
      <x:c r="F409" s="9" t="str">
        <x:v>high</x:v>
      </x:c>
      <x:c r="G409" s="3" t="str">
        <x:v>MF12</x:v>
      </x:c>
      <x:c r="H409" s="3" t="str">
        <x:v>Core evaluators accept external expected outputs/tool calls; their interfaces do not qualify a faulty oracle or independence of fixture authors.</x:v>
      </x:c>
      <x:c r="I409" s="3" t="str">
        <x:v>https://learn.microsoft.com/en-us/agent-framework/agents/evaluation</x:v>
      </x:c>
    </x:row>
    <x:row r="410" ht="49.5" customHeight="1">
      <x:c r="A410" s="3" t="str">
        <x:v>MAF</x:v>
      </x:c>
      <x:c r="B410" s="3" t="str">
        <x:v>Microsoft Agent Framework</x:v>
      </x:c>
      <x:c r="C410" s="3" t="str">
        <x:v>C16</x:v>
      </x:c>
      <x:c r="D410" s="9" t="n">
        <x:v>1</x:v>
      </x:c>
      <x:c r="E410" s="9" t="str">
        <x:v>R</x:v>
      </x:c>
      <x:c r="F410" s="9" t="str">
        <x:v>medium</x:v>
      </x:c>
      <x:c r="G410" s="3" t="str">
        <x:v>MF12
MF09</x:v>
      </x:c>
      <x:c r="H410" s="3" t="str">
        <x:v>Evaluation results and human workflow decisions are separate mechanisms; semantic claims and owner acceptance are not explicitly linked.</x:v>
      </x:c>
      <x:c r="I410" s="3" t="str">
        <x:v>https://learn.microsoft.com/en-us/agent-framework/workflows/human-in-the-loop
https://learn.microsoft.com/en-us/agent-framework/agents/evaluation</x:v>
      </x:c>
    </x:row>
    <x:row r="411" ht="49.5" customHeight="1">
      <x:c r="A411" s="3" t="str">
        <x:v>MAF</x:v>
      </x:c>
      <x:c r="B411" s="3" t="str">
        <x:v>Microsoft Agent Framework</x:v>
      </x:c>
      <x:c r="C411" s="3" t="str">
        <x:v>C17</x:v>
      </x:c>
      <x:c r="D411" s="9" t="n">
        <x:v>2</x:v>
      </x:c>
      <x:c r="E411" s="9" t="str">
        <x:v>R</x:v>
      </x:c>
      <x:c r="F411" s="9" t="str">
        <x:v>high</x:v>
      </x:c>
      <x:c r="G411" s="3" t="str">
        <x:v>MF13
MF14
MF07</x:v>
      </x:c>
      <x:c r="H411" s="3" t="str">
        <x:v>Run traces and checkpoints retain execution/agent identity and timing; immutable subject/basis binding and verdict scope need application metadata.</x:v>
      </x:c>
      <x:c r="I411" s="3" t="str">
        <x:v>https://learn.microsoft.com/en-us/agent-framework/workflows/checkpoints
https://learn.microsoft.com/en-us/agent-framework/agents/observability
https://learn.microsoft.com/en-us/agent-framework/workflows/observability</x:v>
      </x:c>
    </x:row>
    <x:row r="412" ht="49.5" customHeight="1">
      <x:c r="A412" s="3" t="str">
        <x:v>MAF</x:v>
      </x:c>
      <x:c r="B412" s="3" t="str">
        <x:v>Microsoft Agent Framework</x:v>
      </x:c>
      <x:c r="C412" s="3" t="str">
        <x:v>C18</x:v>
      </x:c>
      <x:c r="D412" s="9" t="n">
        <x:v>2</x:v>
      </x:c>
      <x:c r="E412" s="9" t="str">
        <x:v>R</x:v>
      </x:c>
      <x:c r="F412" s="9" t="str">
        <x:v>medium</x:v>
      </x:c>
      <x:c r="G412" s="3" t="str">
        <x:v>MF12</x:v>
      </x:c>
      <x:c r="H412" s="3" t="str">
        <x:v>Local checks, expected fixtures and workflow evaluation support CI/regression paths; comprehensive refusal, uncertainty and changed-basis cases are caller-authored.</x:v>
      </x:c>
      <x:c r="I412" s="3" t="str">
        <x:v>https://learn.microsoft.com/en-us/agent-framework/agents/evaluation</x:v>
      </x:c>
    </x:row>
    <x:row r="413" ht="49.5" customHeight="1">
      <x:c r="A413" s="3" t="str">
        <x:v>MAF</x:v>
      </x:c>
      <x:c r="B413" s="3" t="str">
        <x:v>Microsoft Agent Framework</x:v>
      </x:c>
      <x:c r="C413" s="3" t="str">
        <x:v>C19</x:v>
      </x:c>
      <x:c r="D413" s="9" t="n">
        <x:v>3</x:v>
      </x:c>
      <x:c r="E413" s="9" t="str">
        <x:v>G</x:v>
      </x:c>
      <x:c r="F413" s="9" t="str">
        <x:v>high</x:v>
      </x:c>
      <x:c r="G413" s="3" t="str">
        <x:v>MF01
MF05
MF06</x:v>
      </x:c>
      <x:c r="H413" s="3" t="str">
        <x:v>Public quickstarts, runnable samples and concrete predecessor migration guides provide ordinary first-use paths.</x:v>
      </x:c>
      <x:c r="I413" s="3" t="str">
        <x:v>https://github.com/microsoft/agent-framework
https://learn.microsoft.com/en-us/agent-framework/migration-guide/from-autogen/
https://learn.microsoft.com/en-us/agent-framework/migration-guide/from-semantic-kernel/</x:v>
      </x:c>
    </x:row>
    <x:row r="414" ht="49.5" customHeight="1">
      <x:c r="A414" s="3" t="str">
        <x:v>MAF</x:v>
      </x:c>
      <x:c r="B414" s="3" t="str">
        <x:v>Microsoft Agent Framework</x:v>
      </x:c>
      <x:c r="C414" s="3" t="str">
        <x:v>C20</x:v>
      </x:c>
      <x:c r="D414" s="9" t="n">
        <x:v>3</x:v>
      </x:c>
      <x:c r="E414" s="9" t="str">
        <x:v>R</x:v>
      </x:c>
      <x:c r="F414" s="9" t="str">
        <x:v>high</x:v>
      </x:c>
      <x:c r="G414" s="3" t="str">
        <x:v>MF10</x:v>
      </x:c>
      <x:c r="H414" s="3" t="str">
        <x:v>Native skills expose named source-backed instructions, resources, scripts and compatibility metadata through multiple reusable loaders.</x:v>
      </x:c>
      <x:c r="I414" s="3" t="str">
        <x:v>https://learn.microsoft.com/en-us/agent-framework/agents/skills</x:v>
      </x:c>
    </x:row>
    <x:row r="415" ht="49.5" customHeight="1">
      <x:c r="A415" s="3" t="str">
        <x:v>MAF</x:v>
      </x:c>
      <x:c r="B415" s="3" t="str">
        <x:v>Microsoft Agent Framework</x:v>
      </x:c>
      <x:c r="C415" s="3" t="str">
        <x:v>C21</x:v>
      </x:c>
      <x:c r="D415" s="9" t="n">
        <x:v>3</x:v>
      </x:c>
      <x:c r="E415" s="9" t="str">
        <x:v>R</x:v>
      </x:c>
      <x:c r="F415" s="9" t="str">
        <x:v>high</x:v>
      </x:c>
      <x:c r="G415" s="3" t="str">
        <x:v>MF12</x:v>
      </x:c>
      <x:c r="H415" s="3" t="str">
        <x:v>Core evaluate-agent/workflow APIs, local checks and CI failure gates are documented; Foundry cloud evaluation is an optional provider.</x:v>
      </x:c>
      <x:c r="I415" s="3" t="str">
        <x:v>https://learn.microsoft.com/en-us/agent-framework/agents/evaluation</x:v>
      </x:c>
    </x:row>
    <x:row r="416" ht="49.5" customHeight="1">
      <x:c r="A416" s="3" t="str">
        <x:v>MAF</x:v>
      </x:c>
      <x:c r="B416" s="3" t="str">
        <x:v>Microsoft Agent Framework</x:v>
      </x:c>
      <x:c r="C416" s="3" t="str">
        <x:v>C22</x:v>
      </x:c>
      <x:c r="D416" s="9" t="n">
        <x:v>2</x:v>
      </x:c>
      <x:c r="E416" s="9" t="str">
        <x:v>R</x:v>
      </x:c>
      <x:c r="F416" s="9" t="str">
        <x:v>high</x:v>
      </x:c>
      <x:c r="G416" s="3" t="str">
        <x:v>MF13
MF14</x:v>
      </x:c>
      <x:c r="H416" s="3" t="str">
        <x:v>Native telemetry reports model tokens, operation/tool durations and workflow spans; complete active-context, transfer and aggregate-versus-critical-path accounting is unestablished.</x:v>
      </x:c>
      <x:c r="I416" s="3" t="str">
        <x:v>https://learn.microsoft.com/en-us/agent-framework/agents/observability
https://learn.microsoft.com/en-us/agent-framework/workflows/observability</x:v>
      </x:c>
    </x:row>
    <x:row r="417" ht="49.5" customHeight="1">
      <x:c r="A417" s="3" t="str">
        <x:v>MAF</x:v>
      </x:c>
      <x:c r="B417" s="3" t="str">
        <x:v>Microsoft Agent Framework</x:v>
      </x:c>
      <x:c r="C417" s="3" t="str">
        <x:v>C23</x:v>
      </x:c>
      <x:c r="D417" s="9" t="str">
        <x:v>U</x:v>
      </x:c>
      <x:c r="E417" s="9" t="str">
        <x:v>U</x:v>
      </x:c>
      <x:c r="F417" s="9" t="str">
        <x:v>medium</x:v>
      </x:c>
      <x:c r="G417" s="3" t="str">
        <x:v>MF01
MF12</x:v>
      </x:c>
      <x:c r="H417" s="3" t="str">
        <x:v>Capability and production-readiness statements plus evaluators do not establish measured comparative outcomes for current MAF.</x:v>
      </x:c>
      <x:c r="I417" s="3" t="str">
        <x:v>https://github.com/microsoft/agent-framework
https://learn.microsoft.com/en-us/agent-framework/agents/evaluation</x:v>
      </x:c>
    </x:row>
    <x:row r="418" ht="49.5" customHeight="1">
      <x:c r="A418" s="3" t="str">
        <x:v>MAF</x:v>
      </x:c>
      <x:c r="B418" s="3" t="str">
        <x:v>Microsoft Agent Framework</x:v>
      </x:c>
      <x:c r="C418" s="3" t="str">
        <x:v>C24</x:v>
      </x:c>
      <x:c r="D418" s="9" t="str">
        <x:v>U</x:v>
      </x:c>
      <x:c r="E418" s="9" t="str">
        <x:v>U</x:v>
      </x:c>
      <x:c r="F418" s="9" t="str">
        <x:v>medium</x:v>
      </x:c>
      <x:c r="G418" s="3" t="str">
        <x:v>MF12</x:v>
      </x:c>
      <x:c r="H418" s="3" t="str">
        <x:v>Application evaluation tools do not demonstrate fresh actors following the framework's guidance against independent expectations and faulty-guidance controls.</x:v>
      </x:c>
      <x:c r="I418" s="3" t="str">
        <x:v>https://learn.microsoft.com/en-us/agent-framework/agents/evaluation</x:v>
      </x:c>
    </x:row>
    <x:row r="419" ht="76.5" customHeight="1">
      <x:c r="A419" s="3" t="str">
        <x:v>MAF</x:v>
      </x:c>
      <x:c r="B419" s="3" t="str">
        <x:v>Microsoft Agent Framework</x:v>
      </x:c>
      <x:c r="C419" s="3" t="str">
        <x:v>C25</x:v>
      </x:c>
      <x:c r="D419" s="9" t="n">
        <x:v>3</x:v>
      </x:c>
      <x:c r="E419" s="9" t="str">
        <x:v>R</x:v>
      </x:c>
      <x:c r="F419" s="9" t="str">
        <x:v>high</x:v>
      </x:c>
      <x:c r="G419" s="3" t="str">
        <x:v>MF11</x:v>
      </x:c>
      <x:c r="H419" s="3" t="str">
        <x:v>Experimental opt-in FIDES governs direct Python agent tools: trust/confidentiality labels, quarantine and configured sinks. .NET is unsupported; Monty/Hyperlight CodeAct nested host calls, file/network capabilities bypass enforcement. Remote metadata cannot relax local policy by default; disabled enforcement is diagnostic only.</x:v>
      </x:c>
      <x:c r="I419" s="3" t="str">
        <x:v>https://learn.microsoft.com/en-us/agent-framework/agents/security</x:v>
      </x:c>
    </x:row>
    <x:row r="420" ht="63" customHeight="1">
      <x:c r="A420" s="3" t="str">
        <x:v>MAF</x:v>
      </x:c>
      <x:c r="B420" s="3" t="str">
        <x:v>Microsoft Agent Framework</x:v>
      </x:c>
      <x:c r="C420" s="3" t="str">
        <x:v>C26</x:v>
      </x:c>
      <x:c r="D420" s="9" t="n">
        <x:v>2</x:v>
      </x:c>
      <x:c r="E420" s="9" t="str">
        <x:v>R</x:v>
      </x:c>
      <x:c r="F420" s="9" t="str">
        <x:v>high</x:v>
      </x:c>
      <x:c r="G420" s="3" t="str">
        <x:v>MF05
MF17
MF18</x:v>
      </x:c>
      <x:c r="H420" s="3" t="str">
        <x:v>Experimental looping caps agent invocations; provider output limits are configurable. Background service processing survives client interruption; aggregate spend/retry/concurrency ceilings and delegated stop coverage are not established in this source pass.</x:v>
      </x:c>
      <x:c r="I420" s="3" t="str">
        <x:v>https://learn.microsoft.com/en-us/agent-framework/migration-guide/from-autogen/
https://learn.microsoft.com/en-us/agent-framework/agents/looping
https://learn.microsoft.com/en-us/agent-framework/agents/background-responses</x:v>
      </x:c>
    </x:row>
    <x:row r="421" ht="49.5" customHeight="1">
      <x:c r="A421" s="3" t="str">
        <x:v>CREWAI</x:v>
      </x:c>
      <x:c r="B421" s="3" t="str">
        <x:v>CrewAI</x:v>
      </x:c>
      <x:c r="C421" s="3" t="str">
        <x:v>C01</x:v>
      </x:c>
      <x:c r="D421" s="9" t="n">
        <x:v>2</x:v>
      </x:c>
      <x:c r="E421" s="9" t="str">
        <x:v>R</x:v>
      </x:c>
      <x:c r="F421" s="9" t="str">
        <x:v>high</x:v>
      </x:c>
      <x:c r="G421" s="3" t="str">
        <x:v>CR03</x:v>
      </x:c>
      <x:c r="H421" s="3" t="str">
        <x:v>Task description, expected output and assigned agent provide explicit local outcome/actor choices; exclusions and owner acceptance still need authored policy.</x:v>
      </x:c>
      <x:c r="I421" s="3" t="str">
        <x:v>https://docs.crewai.com/v1.15.27/en/concepts/tasks</x:v>
      </x:c>
    </x:row>
    <x:row r="422" ht="49.5" customHeight="1">
      <x:c r="A422" s="3" t="str">
        <x:v>CREWAI</x:v>
      </x:c>
      <x:c r="B422" s="3" t="str">
        <x:v>CrewAI</x:v>
      </x:c>
      <x:c r="C422" s="3" t="str">
        <x:v>C02</x:v>
      </x:c>
      <x:c r="D422" s="9" t="n">
        <x:v>1</x:v>
      </x:c>
      <x:c r="E422" s="9" t="str">
        <x:v>R</x:v>
      </x:c>
      <x:c r="F422" s="9" t="str">
        <x:v>high</x:v>
      </x:c>
      <x:c r="G422" s="3" t="str">
        <x:v>CR02
CR03</x:v>
      </x:c>
      <x:c r="H422" s="3" t="str">
        <x:v>JSONC agent/task configuration is separated from code; that separation does not establish recoverable requirements-to-realization traceability.</x:v>
      </x:c>
      <x:c r="I422" s="3" t="str">
        <x:v>https://docs.crewai.com/v1.15.27/en/concepts/agents
https://docs.crewai.com/v1.15.27/en/concepts/tasks</x:v>
      </x:c>
    </x:row>
    <x:row r="423" ht="49.5" customHeight="1">
      <x:c r="A423" s="3" t="str">
        <x:v>CREWAI</x:v>
      </x:c>
      <x:c r="B423" s="3" t="str">
        <x:v>CrewAI</x:v>
      </x:c>
      <x:c r="C423" s="3" t="str">
        <x:v>C03</x:v>
      </x:c>
      <x:c r="D423" s="9" t="n">
        <x:v>1</x:v>
      </x:c>
      <x:c r="E423" s="9" t="str">
        <x:v>R</x:v>
      </x:c>
      <x:c r="F423" s="9" t="str">
        <x:v>medium</x:v>
      </x:c>
      <x:c r="G423" s="3" t="str">
        <x:v>CR04
CR11</x:v>
      </x:c>
      <x:c r="H423" s="3" t="str">
        <x:v>Flow UUID/state and raw/JSON/Pydantic task outputs distinguish runtime identity and representations; contextual semantic identity remains developer-defined.</x:v>
      </x:c>
      <x:c r="I423" s="3" t="str">
        <x:v>https://docs.crewai.com/v1.15.27/en/concepts/flows
https://docs.crewai.com/v1.15.27/en/concepts/crews</x:v>
      </x:c>
    </x:row>
    <x:row r="424" ht="49.5" customHeight="1">
      <x:c r="A424" s="3" t="str">
        <x:v>CREWAI</x:v>
      </x:c>
      <x:c r="B424" s="3" t="str">
        <x:v>CrewAI</x:v>
      </x:c>
      <x:c r="C424" s="3" t="str">
        <x:v>C04</x:v>
      </x:c>
      <x:c r="D424" s="9" t="n">
        <x:v>1</x:v>
      </x:c>
      <x:c r="E424" s="9" t="str">
        <x:v>R</x:v>
      </x:c>
      <x:c r="F424" s="9" t="str">
        <x:v>high</x:v>
      </x:c>
      <x:c r="G424" s="3" t="str">
        <x:v>CR03
CR11</x:v>
      </x:c>
      <x:c r="H424" s="3" t="str">
        <x:v>Task context and sequential output guardrails govern local joins; typed results do not conserve all outer-task constraints or unresolved coverage.</x:v>
      </x:c>
      <x:c r="I424" s="3" t="str">
        <x:v>https://docs.crewai.com/v1.15.27/en/concepts/tasks
https://docs.crewai.com/v1.15.27/en/concepts/crews</x:v>
      </x:c>
    </x:row>
    <x:row r="425" ht="49.5" customHeight="1">
      <x:c r="A425" s="3" t="str">
        <x:v>CREWAI</x:v>
      </x:c>
      <x:c r="B425" s="3" t="str">
        <x:v>CrewAI</x:v>
      </x:c>
      <x:c r="C425" s="3" t="str">
        <x:v>C05</x:v>
      </x:c>
      <x:c r="D425" s="9" t="str">
        <x:v>U</x:v>
      </x:c>
      <x:c r="E425" s="9" t="str">
        <x:v>U</x:v>
      </x:c>
      <x:c r="F425" s="9" t="str">
        <x:v>medium</x:v>
      </x:c>
      <x:c r="G425" s="3" t="str">
        <x:v>CR05</x:v>
      </x:c>
      <x:c r="H425" s="3" t="str">
        <x:v>Checkpoint restoration preserves prior configuration/work; inspected guidance does not establish changed-requirement support invalidation and selective retention.</x:v>
      </x:c>
      <x:c r="I425" s="3" t="str">
        <x:v>https://docs.crewai.com/v1.15.27/en/concepts/checkpointing</x:v>
      </x:c>
    </x:row>
    <x:row r="426" ht="49.5" customHeight="1">
      <x:c r="A426" s="3" t="str">
        <x:v>CREWAI</x:v>
      </x:c>
      <x:c r="B426" s="3" t="str">
        <x:v>CrewAI</x:v>
      </x:c>
      <x:c r="C426" s="3" t="str">
        <x:v>C06</x:v>
      </x:c>
      <x:c r="D426" s="9" t="str">
        <x:v>NA</x:v>
      </x:c>
      <x:c r="E426" s="9" t="str">
        <x:v>U</x:v>
      </x:c>
      <x:c r="F426" s="9" t="str">
        <x:v>high</x:v>
      </x:c>
      <x:c r="G426" s="3" t="str">
        <x:v>CR01</x:v>
      </x:c>
      <x:c r="H426" s="3" t="str">
        <x:v>Crews/flows execute applications; constructed-product qualification and adoption authority belongs to the application owner or a composed method.</x:v>
      </x:c>
      <x:c r="I426" s="3" t="str">
        <x:v>https://github.com/crewAIInc/crewAI</x:v>
      </x:c>
    </x:row>
    <x:row r="427" ht="49.5" customHeight="1">
      <x:c r="A427" s="3" t="str">
        <x:v>CREWAI</x:v>
      </x:c>
      <x:c r="B427" s="3" t="str">
        <x:v>CrewAI</x:v>
      </x:c>
      <x:c r="C427" s="3" t="str">
        <x:v>C07</x:v>
      </x:c>
      <x:c r="D427" s="9" t="n">
        <x:v>2</x:v>
      </x:c>
      <x:c r="E427" s="9" t="str">
        <x:v>R</x:v>
      </x:c>
      <x:c r="F427" s="9" t="str">
        <x:v>high</x:v>
      </x:c>
      <x:c r="G427" s="3" t="str">
        <x:v>CR07</x:v>
      </x:c>
      <x:c r="H427" s="3" t="str">
        <x:v>Skill metadata, selective activation and explicit resource loading target context; material source-exclusion and sufficiency records are not established.</x:v>
      </x:c>
      <x:c r="I427" s="3" t="str">
        <x:v>https://docs.crewai.com/v1.15.27/en/concepts/skills</x:v>
      </x:c>
    </x:row>
    <x:row r="428" ht="49.5" customHeight="1">
      <x:c r="A428" s="3" t="str">
        <x:v>CREWAI</x:v>
      </x:c>
      <x:c r="B428" s="3" t="str">
        <x:v>CrewAI</x:v>
      </x:c>
      <x:c r="C428" s="3" t="str">
        <x:v>C08</x:v>
      </x:c>
      <x:c r="D428" s="9" t="n">
        <x:v>2</x:v>
      </x:c>
      <x:c r="E428" s="9" t="str">
        <x:v>R</x:v>
      </x:c>
      <x:c r="F428" s="9" t="str">
        <x:v>high</x:v>
      </x:c>
      <x:c r="G428" s="3" t="str">
        <x:v>CR02</x:v>
      </x:c>
      <x:c r="H428" s="3" t="str">
        <x:v>Strict context mode stops on overflow, while default mode summarizes; task time/iteration bounds exist. Required-context preflight sufficiency remains unproved.</x:v>
      </x:c>
      <x:c r="I428" s="3" t="str">
        <x:v>https://docs.crewai.com/v1.15.27/en/concepts/agents</x:v>
      </x:c>
    </x:row>
    <x:row r="429" ht="49.5" customHeight="1">
      <x:c r="A429" s="3" t="str">
        <x:v>CREWAI</x:v>
      </x:c>
      <x:c r="B429" s="3" t="str">
        <x:v>CrewAI</x:v>
      </x:c>
      <x:c r="C429" s="3" t="str">
        <x:v>C09</x:v>
      </x:c>
      <x:c r="D429" s="9" t="n">
        <x:v>2</x:v>
      </x:c>
      <x:c r="E429" s="9" t="str">
        <x:v>R</x:v>
      </x:c>
      <x:c r="F429" s="9" t="str">
        <x:v>high</x:v>
      </x:c>
      <x:c r="G429" s="3" t="str">
        <x:v>CR02
CR04
CR11</x:v>
      </x:c>
      <x:c r="H429" s="3" t="str">
        <x:v>Optional delegation and explicit flow/task joins support subwork; adequate decomposition and outer-task obligation conservation remain authored responsibilities.</x:v>
      </x:c>
      <x:c r="I429" s="3" t="str">
        <x:v>https://docs.crewai.com/v1.15.27/en/concepts/agents
https://docs.crewai.com/v1.15.27/en/concepts/flows
https://docs.crewai.com/v1.15.27/en/concepts/crews</x:v>
      </x:c>
    </x:row>
    <x:row r="430" ht="49.5" customHeight="1">
      <x:c r="A430" s="3" t="str">
        <x:v>CREWAI</x:v>
      </x:c>
      <x:c r="B430" s="3" t="str">
        <x:v>CrewAI</x:v>
      </x:c>
      <x:c r="C430" s="3" t="str">
        <x:v>C10</x:v>
      </x:c>
      <x:c r="D430" s="9" t="n">
        <x:v>2</x:v>
      </x:c>
      <x:c r="E430" s="9" t="str">
        <x:v>R</x:v>
      </x:c>
      <x:c r="F430" s="9" t="str">
        <x:v>high</x:v>
      </x:c>
      <x:c r="G430" s="3" t="str">
        <x:v>CR05
CR06</x:v>
      </x:c>
      <x:c r="H430" s="3" t="str">
        <x:v>Checkpoints restore execution/history and skip completed tasks; paused flows resume in a new instance. Automatic checkpoint writes are best-effort.</x:v>
      </x:c>
      <x:c r="I430" s="3" t="str">
        <x:v>https://docs.crewai.com/v1.15.27/en/concepts/checkpointing
https://docs.crewai.com/v1.15.27/en/learn/human-feedback-in-flows</x:v>
      </x:c>
    </x:row>
    <x:row r="431" ht="49.5" customHeight="1">
      <x:c r="A431" s="3" t="str">
        <x:v>CREWAI</x:v>
      </x:c>
      <x:c r="B431" s="3" t="str">
        <x:v>CrewAI</x:v>
      </x:c>
      <x:c r="C431" s="3" t="str">
        <x:v>C11</x:v>
      </x:c>
      <x:c r="D431" s="9" t="n">
        <x:v>1</x:v>
      </x:c>
      <x:c r="E431" s="9" t="str">
        <x:v>R</x:v>
      </x:c>
      <x:c r="F431" s="9" t="str">
        <x:v>medium</x:v>
      </x:c>
      <x:c r="G431" s="3" t="str">
        <x:v>CR02
CR03
CR06</x:v>
      </x:c>
      <x:c r="H431" s="3" t="str">
        <x:v>Finite guardrail retries, overflow errors and feedback routes distinguish some failures/next actions; invalid basis and epistemic unknowns lack a demonstrated common contract.</x:v>
      </x:c>
      <x:c r="I431" s="3" t="str">
        <x:v>https://docs.crewai.com/v1.15.27/en/concepts/agents
https://docs.crewai.com/v1.15.27/en/concepts/tasks
https://docs.crewai.com/v1.15.27/en/learn/human-feedback-in-flows</x:v>
      </x:c>
    </x:row>
    <x:row r="432" ht="49.5" customHeight="1">
      <x:c r="A432" s="3" t="str">
        <x:v>CREWAI</x:v>
      </x:c>
      <x:c r="B432" s="3" t="str">
        <x:v>CrewAI</x:v>
      </x:c>
      <x:c r="C432" s="3" t="str">
        <x:v>C12</x:v>
      </x:c>
      <x:c r="D432" s="9" t="n">
        <x:v>1</x:v>
      </x:c>
      <x:c r="E432" s="9" t="str">
        <x:v>G</x:v>
      </x:c>
      <x:c r="F432" s="9" t="str">
        <x:v>high</x:v>
      </x:c>
      <x:c r="G432" s="3" t="str">
        <x:v>CR06
CR05</x:v>
      </x:c>
      <x:c r="H432" s="3" t="str">
        <x:v>Resume-handler idempotency is advised; restored checkpoints do not establish reconciliation of an uncertain external effect before another attempt.</x:v>
      </x:c>
      <x:c r="I432" s="3" t="str">
        <x:v>https://docs.crewai.com/v1.15.27/en/concepts/checkpointing
https://docs.crewai.com/v1.15.27/en/learn/human-feedback-in-flows</x:v>
      </x:c>
    </x:row>
    <x:row r="433" ht="49.5" customHeight="1">
      <x:c r="A433" s="3" t="str">
        <x:v>CREWAI</x:v>
      </x:c>
      <x:c r="B433" s="3" t="str">
        <x:v>CrewAI</x:v>
      </x:c>
      <x:c r="C433" s="3" t="str">
        <x:v>C13</x:v>
      </x:c>
      <x:c r="D433" s="9" t="n">
        <x:v>2</x:v>
      </x:c>
      <x:c r="E433" s="9" t="str">
        <x:v>R</x:v>
      </x:c>
      <x:c r="F433" s="9" t="str">
        <x:v>high</x:v>
      </x:c>
      <x:c r="G433" s="3" t="str">
        <x:v>CR10</x:v>
      </x:c>
      <x:c r="H433" s="3" t="str">
        <x:v>Pre-tool hooks can block scoped calls before execution; ordinary exceptions fail open, so effective denial requires HookAborted or explicit False.</x:v>
      </x:c>
      <x:c r="I433" s="3" t="str">
        <x:v>https://docs.crewai.com/v1.15.27/en/learn/tool-hooks</x:v>
      </x:c>
    </x:row>
    <x:row r="434" ht="49.5" customHeight="1">
      <x:c r="A434" s="3" t="str">
        <x:v>CREWAI</x:v>
      </x:c>
      <x:c r="B434" s="3" t="str">
        <x:v>CrewAI</x:v>
      </x:c>
      <x:c r="C434" s="3" t="str">
        <x:v>C14</x:v>
      </x:c>
      <x:c r="D434" s="9" t="str">
        <x:v>U</x:v>
      </x:c>
      <x:c r="E434" s="9" t="str">
        <x:v>U</x:v>
      </x:c>
      <x:c r="F434" s="9" t="str">
        <x:v>medium</x:v>
      </x:c>
      <x:c r="G434" s="3" t="str">
        <x:v>CR03
CR06</x:v>
      </x:c>
      <x:c r="H434" s="3" t="str">
        <x:v>Output guardrails can use the actor's own model; human feedback supplies decisions, without demonstrated claim-relative independent assessment.</x:v>
      </x:c>
      <x:c r="I434" s="3" t="str">
        <x:v>https://docs.crewai.com/v1.15.27/en/concepts/tasks
https://docs.crewai.com/v1.15.27/en/learn/human-feedback-in-flows</x:v>
      </x:c>
    </x:row>
    <x:row r="435" ht="49.5" customHeight="1">
      <x:c r="A435" s="3" t="str">
        <x:v>CREWAI</x:v>
      </x:c>
      <x:c r="B435" s="3" t="str">
        <x:v>CrewAI</x:v>
      </x:c>
      <x:c r="C435" s="3" t="str">
        <x:v>C15</x:v>
      </x:c>
      <x:c r="D435" s="9" t="n">
        <x:v>1</x:v>
      </x:c>
      <x:c r="E435" s="9" t="str">
        <x:v>R</x:v>
      </x:c>
      <x:c r="F435" s="9" t="str">
        <x:v>medium</x:v>
      </x:c>
      <x:c r="G435" s="3" t="str">
        <x:v>CR03
CR08</x:v>
      </x:c>
      <x:c r="H435" s="3" t="str">
        <x:v>Expected-output descriptions and custom checks provide partial oracle support; separate answer fixtures and faulty-checker controls are not demonstrated.</x:v>
      </x:c>
      <x:c r="I435" s="3" t="str">
        <x:v>https://docs.crewai.com/v1.15.27/en/concepts/tasks
https://docs.crewai.com/v1.15.27/en/concepts/testing</x:v>
      </x:c>
    </x:row>
    <x:row r="436" ht="49.5" customHeight="1">
      <x:c r="A436" s="3" t="str">
        <x:v>CREWAI</x:v>
      </x:c>
      <x:c r="B436" s="3" t="str">
        <x:v>CrewAI</x:v>
      </x:c>
      <x:c r="C436" s="3" t="str">
        <x:v>C16</x:v>
      </x:c>
      <x:c r="D436" s="9" t="n">
        <x:v>1</x:v>
      </x:c>
      <x:c r="E436" s="9" t="str">
        <x:v>R</x:v>
      </x:c>
      <x:c r="F436" s="9" t="str">
        <x:v>medium</x:v>
      </x:c>
      <x:c r="G436" s="3" t="str">
        <x:v>CR03
CR06</x:v>
      </x:c>
      <x:c r="H436" s="3" t="str">
        <x:v>Task validation and human feedback are separate stages; typed, behavioral and semantic claims are not linked to explicit owner acceptance authority.</x:v>
      </x:c>
      <x:c r="I436" s="3" t="str">
        <x:v>https://docs.crewai.com/v1.15.27/en/concepts/tasks
https://docs.crewai.com/v1.15.27/en/learn/human-feedback-in-flows</x:v>
      </x:c>
    </x:row>
    <x:row r="437" ht="49.5" customHeight="1">
      <x:c r="A437" s="3" t="str">
        <x:v>CREWAI</x:v>
      </x:c>
      <x:c r="B437" s="3" t="str">
        <x:v>CrewAI</x:v>
      </x:c>
      <x:c r="C437" s="3" t="str">
        <x:v>C17</x:v>
      </x:c>
      <x:c r="D437" s="9" t="n">
        <x:v>2</x:v>
      </x:c>
      <x:c r="E437" s="9" t="str">
        <x:v>R</x:v>
      </x:c>
      <x:c r="F437" s="9" t="str">
        <x:v>high</x:v>
      </x:c>
      <x:c r="G437" s="3" t="str">
        <x:v>CR05
CR09</x:v>
      </x:c>
      <x:c r="H437" s="3" t="str">
        <x:v>Checkpoint lineage, event history and intermediate outputs scope execution provenance; exact subject/basis binding and verdict limitations require additional records.</x:v>
      </x:c>
      <x:c r="I437" s="3" t="str">
        <x:v>https://docs.crewai.com/v1.15.27/en/concepts/checkpointing
https://docs.crewai.com/v1.15.27/en/concepts/event-listener</x:v>
      </x:c>
    </x:row>
    <x:row r="438" ht="49.5" customHeight="1">
      <x:c r="A438" s="3" t="str">
        <x:v>CREWAI</x:v>
      </x:c>
      <x:c r="B438" s="3" t="str">
        <x:v>CrewAI</x:v>
      </x:c>
      <x:c r="C438" s="3" t="str">
        <x:v>C18</x:v>
      </x:c>
      <x:c r="D438" s="9" t="n">
        <x:v>1</x:v>
      </x:c>
      <x:c r="E438" s="9" t="str">
        <x:v>G</x:v>
      </x:c>
      <x:c r="F438" s="9" t="str">
        <x:v>medium</x:v>
      </x:c>
      <x:c r="G438" s="3" t="str">
        <x:v>CR03
CR10
CR08</x:v>
      </x:c>
      <x:c r="H438" s="3" t="str">
        <x:v>Guardrail failure paths and isolated-hook testing advice exist; CLI scoring does not itself supply refusal/uncertainty/changed-basis regression fixtures.</x:v>
      </x:c>
      <x:c r="I438" s="3" t="str">
        <x:v>https://docs.crewai.com/v1.15.27/en/concepts/tasks
https://docs.crewai.com/v1.15.27/en/concepts/testing
https://docs.crewai.com/v1.15.27/en/learn/tool-hooks</x:v>
      </x:c>
    </x:row>
    <x:row r="439" ht="49.5" customHeight="1">
      <x:c r="A439" s="3" t="str">
        <x:v>CREWAI</x:v>
      </x:c>
      <x:c r="B439" s="3" t="str">
        <x:v>CrewAI</x:v>
      </x:c>
      <x:c r="C439" s="3" t="str">
        <x:v>C19</x:v>
      </x:c>
      <x:c r="D439" s="9" t="n">
        <x:v>3</x:v>
      </x:c>
      <x:c r="E439" s="9" t="str">
        <x:v>G</x:v>
      </x:c>
      <x:c r="F439" s="9" t="str">
        <x:v>high</x:v>
      </x:c>
      <x:c r="G439" s="3" t="str">
        <x:v>CR02
CR01</x:v>
      </x:c>
      <x:c r="H439" s="3" t="str">
        <x:v>Public scaffold/configuration examples and direct agent/crew execution offer a supported ordinary starting path.</x:v>
      </x:c>
      <x:c r="I439" s="3" t="str">
        <x:v>https://github.com/crewAIInc/crewAI
https://docs.crewai.com/v1.15.27/en/concepts/agents</x:v>
      </x:c>
    </x:row>
    <x:row r="440" ht="49.5" customHeight="1">
      <x:c r="A440" s="3" t="str">
        <x:v>CREWAI</x:v>
      </x:c>
      <x:c r="B440" s="3" t="str">
        <x:v>CrewAI</x:v>
      </x:c>
      <x:c r="C440" s="3" t="str">
        <x:v>C20</x:v>
      </x:c>
      <x:c r="D440" s="9" t="n">
        <x:v>3</x:v>
      </x:c>
      <x:c r="E440" s="9" t="str">
        <x:v>R</x:v>
      </x:c>
      <x:c r="F440" s="9" t="str">
        <x:v>high</x:v>
      </x:c>
      <x:c r="G440" s="3" t="str">
        <x:v>CR07</x:v>
      </x:c>
      <x:c r="H440" s="3" t="str">
        <x:v>Native named skills preserve discoverable file instructions and resource catalogs; selective activation supports reuse across agent executions.</x:v>
      </x:c>
      <x:c r="I440" s="3" t="str">
        <x:v>https://docs.crewai.com/v1.15.27/en/concepts/skills</x:v>
      </x:c>
    </x:row>
    <x:row r="441" ht="49.5" customHeight="1">
      <x:c r="A441" s="3" t="str">
        <x:v>CREWAI</x:v>
      </x:c>
      <x:c r="B441" s="3" t="str">
        <x:v>CrewAI</x:v>
      </x:c>
      <x:c r="C441" s="3" t="str">
        <x:v>C21</x:v>
      </x:c>
      <x:c r="D441" s="9" t="n">
        <x:v>2</x:v>
      </x:c>
      <x:c r="E441" s="9" t="str">
        <x:v>R</x:v>
      </x:c>
      <x:c r="F441" s="9" t="str">
        <x:v>high</x:v>
      </x:c>
      <x:c r="G441" s="3" t="str">
        <x:v>CR08
CR06</x:v>
      </x:c>
      <x:c r="H441" s="3" t="str">
        <x:v>Native CLI repeats crew runs with score/time reports; optional learned feedback affects later prompts. Evaluation validity and repair policy remain caller-defined.</x:v>
      </x:c>
      <x:c r="I441" s="3" t="str">
        <x:v>https://docs.crewai.com/v1.15.27/en/learn/human-feedback-in-flows
https://docs.crewai.com/v1.15.27/en/concepts/testing</x:v>
      </x:c>
    </x:row>
    <x:row r="442" ht="49.5" customHeight="1">
      <x:c r="A442" s="3" t="str">
        <x:v>CREWAI</x:v>
      </x:c>
      <x:c r="B442" s="3" t="str">
        <x:v>CrewAI</x:v>
      </x:c>
      <x:c r="C442" s="3" t="str">
        <x:v>C22</x:v>
      </x:c>
      <x:c r="D442" s="9" t="n">
        <x:v>2</x:v>
      </x:c>
      <x:c r="E442" s="9" t="str">
        <x:v>R</x:v>
      </x:c>
      <x:c r="F442" s="9" t="str">
        <x:v>high</x:v>
      </x:c>
      <x:c r="G442" s="3" t="str">
        <x:v>CR04
CR08
CR09</x:v>
      </x:c>
      <x:c r="H442" s="3" t="str">
        <x:v>Native flow usage_metrics covers all crews/tools/bare LLM calls with cache/reasoning subsets; events/time reports remain short of complete critical-path/context accounting.</x:v>
      </x:c>
      <x:c r="I442" s="3" t="str">
        <x:v>https://docs.crewai.com/v1.15.27/en/concepts/flows
https://docs.crewai.com/v1.15.27/en/concepts/testing
https://docs.crewai.com/v1.15.27/en/concepts/event-listener</x:v>
      </x:c>
    </x:row>
    <x:row r="443" ht="49.5" customHeight="1">
      <x:c r="A443" s="3" t="str">
        <x:v>CREWAI</x:v>
      </x:c>
      <x:c r="B443" s="3" t="str">
        <x:v>CrewAI</x:v>
      </x:c>
      <x:c r="C443" s="3" t="str">
        <x:v>C23</x:v>
      </x:c>
      <x:c r="D443" s="9" t="str">
        <x:v>U</x:v>
      </x:c>
      <x:c r="E443" s="9" t="str">
        <x:v>U</x:v>
      </x:c>
      <x:c r="F443" s="9" t="str">
        <x:v>medium</x:v>
      </x:c>
      <x:c r="G443" s="3" t="str">
        <x:v>CR08
CR01</x:v>
      </x:c>
      <x:c r="H443" s="3" t="str">
        <x:v>The displayed test scores are illustrative tooling output; inspected sources provide no matched measured effectiveness comparison for this selected runtime.</x:v>
      </x:c>
      <x:c r="I443" s="3" t="str">
        <x:v>https://github.com/crewAIInc/crewAI
https://docs.crewai.com/v1.15.27/en/concepts/testing</x:v>
      </x:c>
    </x:row>
    <x:row r="444" ht="49.5" customHeight="1">
      <x:c r="A444" s="3" t="str">
        <x:v>CREWAI</x:v>
      </x:c>
      <x:c r="B444" s="3" t="str">
        <x:v>CrewAI</x:v>
      </x:c>
      <x:c r="C444" s="3" t="str">
        <x:v>C24</x:v>
      </x:c>
      <x:c r="D444" s="9" t="str">
        <x:v>U</x:v>
      </x:c>
      <x:c r="E444" s="9" t="str">
        <x:v>U</x:v>
      </x:c>
      <x:c r="F444" s="9" t="str">
        <x:v>medium</x:v>
      </x:c>
      <x:c r="G444" s="3" t="str">
        <x:v>CR08
CR10</x:v>
      </x:c>
      <x:c r="H444" s="3" t="str">
        <x:v>Crew scoring and hook tests do not demonstrate fresh-actor method fidelity or independent faulty-guidance/oracle qualification.</x:v>
      </x:c>
      <x:c r="I444" s="3" t="str">
        <x:v>https://docs.crewai.com/v1.15.27/en/concepts/testing
https://docs.crewai.com/v1.15.27/en/learn/tool-hooks</x:v>
      </x:c>
    </x:row>
    <x:row r="445" ht="49.5" customHeight="1">
      <x:c r="A445" s="3" t="str">
        <x:v>CREWAI</x:v>
      </x:c>
      <x:c r="B445" s="3" t="str">
        <x:v>CrewAI</x:v>
      </x:c>
      <x:c r="C445" s="3" t="str">
        <x:v>C25</x:v>
      </x:c>
      <x:c r="D445" s="9" t="n">
        <x:v>1</x:v>
      </x:c>
      <x:c r="E445" s="9" t="str">
        <x:v>G</x:v>
      </x:c>
      <x:c r="F445" s="9" t="str">
        <x:v>high</x:v>
      </x:c>
      <x:c r="G445" s="3" t="str">
        <x:v>CR12
CR10</x:v>
      </x:c>
      <x:c r="H445" s="3" t="str">
        <x:v>MCP guidance explicitly warns that tool metadata can inject instructions and expose sensitive data before tool use; trusted-server/least-privilege guidance and authored hooks do not establish generic runtime isolation.</x:v>
      </x:c>
      <x:c r="I445" s="3" t="str">
        <x:v>https://docs.crewai.com/v1.15.27/en/learn/tool-hooks
https://docs.crewai.com/v1.15.27/en/mcp/security</x:v>
      </x:c>
    </x:row>
    <x:row r="446" ht="49.5" customHeight="1">
      <x:c r="A446" s="3" t="str">
        <x:v>CREWAI</x:v>
      </x:c>
      <x:c r="B446" s="3" t="str">
        <x:v>CrewAI</x:v>
      </x:c>
      <x:c r="C446" s="3" t="str">
        <x:v>C26</x:v>
      </x:c>
      <x:c r="D446" s="9" t="n">
        <x:v>2</x:v>
      </x:c>
      <x:c r="E446" s="9" t="str">
        <x:v>R</x:v>
      </x:c>
      <x:c r="F446" s="9" t="str">
        <x:v>high</x:v>
      </x:c>
      <x:c r="G446" s="3" t="str">
        <x:v>CR02
CR04</x:v>
      </x:c>
      <x:c r="H446" s="3" t="str">
        <x:v>Per-agent iteration, time, request-rate and retry bounds plus strict context overflow are configurable. Flow tokens are observable; shared spend ceilings and guaranteed cancellation of delegated/external effects are not established.</x:v>
      </x:c>
      <x:c r="I446" s="3" t="str">
        <x:v>https://docs.crewai.com/v1.15.27/en/concepts/agents
https://docs.crewai.com/v1.15.27/en/concepts/flows</x:v>
      </x:c>
    </x:row>
    <x:row r="447" ht="49.5" customHeight="1">
      <x:c r="A447" s="3" t="str">
        <x:v>PYDANTIC</x:v>
      </x:c>
      <x:c r="B447" s="3" t="str">
        <x:v>Pydantic AI</x:v>
      </x:c>
      <x:c r="C447" s="3" t="str">
        <x:v>C01</x:v>
      </x:c>
      <x:c r="D447" s="9" t="n">
        <x:v>1</x:v>
      </x:c>
      <x:c r="E447" s="9" t="str">
        <x:v>R</x:v>
      </x:c>
      <x:c r="F447" s="9" t="str">
        <x:v>medium</x:v>
      </x:c>
      <x:c r="G447" s="3" t="str">
        <x:v>PA02</x:v>
      </x:c>
      <x:c r="H447" s="3" t="str">
        <x:v>Instructions and declared output types express local task intent; owner outcome, exclusions and success acceptance remain caller-defined.</x:v>
      </x:c>
      <x:c r="I447" s="3" t="str">
        <x:v>https://pydantic.dev/docs/ai/core-concepts/agent/</x:v>
      </x:c>
    </x:row>
    <x:row r="448" ht="49.5" customHeight="1">
      <x:c r="A448" s="3" t="str">
        <x:v>PYDANTIC</x:v>
      </x:c>
      <x:c r="B448" s="3" t="str">
        <x:v>Pydantic AI</x:v>
      </x:c>
      <x:c r="C448" s="3" t="str">
        <x:v>C02</x:v>
      </x:c>
      <x:c r="D448" s="9" t="n">
        <x:v>1</x:v>
      </x:c>
      <x:c r="E448" s="9" t="str">
        <x:v>R</x:v>
      </x:c>
      <x:c r="F448" s="9" t="str">
        <x:v>high</x:v>
      </x:c>
      <x:c r="G448" s="3" t="str">
        <x:v>PA03</x:v>
      </x:c>
      <x:c r="H448" s="3" t="str">
        <x:v>AgentSpecs separate declarative configuration from application code; recoverable requirements-to-implementation traceability is not established.</x:v>
      </x:c>
      <x:c r="I448" s="3" t="str">
        <x:v>https://pydantic.dev/docs/ai/core-concepts/agent-spec/</x:v>
      </x:c>
    </x:row>
    <x:row r="449" ht="49.5" customHeight="1">
      <x:c r="A449" s="3" t="str">
        <x:v>PYDANTIC</x:v>
      </x:c>
      <x:c r="B449" s="3" t="str">
        <x:v>Pydantic AI</x:v>
      </x:c>
      <x:c r="C449" s="3" t="str">
        <x:v>C03</x:v>
      </x:c>
      <x:c r="D449" s="9" t="n">
        <x:v>1</x:v>
      </x:c>
      <x:c r="E449" s="9" t="str">
        <x:v>R</x:v>
      </x:c>
      <x:c r="F449" s="9" t="str">
        <x:v>medium</x:v>
      </x:c>
      <x:c r="G449" s="3" t="str">
        <x:v>PA02
PA03</x:v>
      </x:c>
      <x:c r="H449" s="3" t="str">
        <x:v>Dependencies, outputs, run/conversation identity and metadata are distinct; typed data does not establish contextual subject meaning or interpretation.</x:v>
      </x:c>
      <x:c r="I449" s="3" t="str">
        <x:v>https://pydantic.dev/docs/ai/core-concepts/agent/
https://pydantic.dev/docs/ai/core-concepts/agent-spec/</x:v>
      </x:c>
    </x:row>
    <x:row r="450" ht="49.5" customHeight="1">
      <x:c r="A450" s="3" t="str">
        <x:v>PYDANTIC</x:v>
      </x:c>
      <x:c r="B450" s="3" t="str">
        <x:v>Pydantic AI</x:v>
      </x:c>
      <x:c r="C450" s="3" t="str">
        <x:v>C04</x:v>
      </x:c>
      <x:c r="D450" s="9" t="n">
        <x:v>1</x:v>
      </x:c>
      <x:c r="E450" s="9" t="str">
        <x:v>R</x:v>
      </x:c>
      <x:c r="F450" s="9" t="str">
        <x:v>high</x:v>
      </x:c>
      <x:c r="G450" s="3" t="str">
        <x:v>PA05
PA03</x:v>
      </x:c>
      <x:c r="H450" s="3" t="str">
        <x:v>Typed delegation and explicit configuration merges preserve data shape; outer semantic obligations, known failures and missing coverage remain application logic.</x:v>
      </x:c>
      <x:c r="I450" s="3" t="str">
        <x:v>https://pydantic.dev/docs/ai/core-concepts/agent-spec/
https://pydantic.dev/docs/ai/guides/multi-agent-applications/</x:v>
      </x:c>
    </x:row>
    <x:row r="451" ht="49.5" customHeight="1">
      <x:c r="A451" s="3" t="str">
        <x:v>PYDANTIC</x:v>
      </x:c>
      <x:c r="B451" s="3" t="str">
        <x:v>Pydantic AI</x:v>
      </x:c>
      <x:c r="C451" s="3" t="str">
        <x:v>C05</x:v>
      </x:c>
      <x:c r="D451" s="9" t="n">
        <x:v>1</x:v>
      </x:c>
      <x:c r="E451" s="9" t="str">
        <x:v>G</x:v>
      </x:c>
      <x:c r="F451" s="9" t="str">
        <x:v>high</x:v>
      </x:c>
      <x:c r="G451" s="3" t="str">
        <x:v>PA07
PA16</x:v>
      </x:c>
      <x:c r="H451" s="3" t="str">
        <x:v>Persisted-name migration and worker-versioning guidance retain recorded work; requirements-relative invalidation and unaffected-support retention are not established.</x:v>
      </x:c>
      <x:c r="I451" s="3" t="str">
        <x:v>https://pydantic.dev/docs/ai/capabilities/durable_execution/backends/
https://pydantic.dev/docs/ai/capabilities/durable_execution/temporal/</x:v>
      </x:c>
    </x:row>
    <x:row r="452" ht="49.5" customHeight="1">
      <x:c r="A452" s="3" t="str">
        <x:v>PYDANTIC</x:v>
      </x:c>
      <x:c r="B452" s="3" t="str">
        <x:v>Pydantic AI</x:v>
      </x:c>
      <x:c r="C452" s="3" t="str">
        <x:v>C06</x:v>
      </x:c>
      <x:c r="D452" s="9" t="str">
        <x:v>NA</x:v>
      </x:c>
      <x:c r="E452" s="9" t="str">
        <x:v>U</x:v>
      </x:c>
      <x:c r="F452" s="9" t="str">
        <x:v>high</x:v>
      </x:c>
      <x:c r="G452" s="3" t="str">
        <x:v>PA15</x:v>
      </x:c>
      <x:c r="H452" s="3" t="str">
        <x:v>Core runtime does not govern constructed-product qualification or adoption; application owners or a composed method supply that authority.</x:v>
      </x:c>
      <x:c r="I452" s="3" t="str">
        <x:v>https://pydantic.dev/docs/ai/overview/</x:v>
      </x:c>
    </x:row>
    <x:row r="453" ht="49.5" customHeight="1">
      <x:c r="A453" s="3" t="str">
        <x:v>PYDANTIC</x:v>
      </x:c>
      <x:c r="B453" s="3" t="str">
        <x:v>Pydantic AI</x:v>
      </x:c>
      <x:c r="C453" s="3" t="str">
        <x:v>C07</x:v>
      </x:c>
      <x:c r="D453" s="9" t="n">
        <x:v>2</x:v>
      </x:c>
      <x:c r="E453" s="9" t="str">
        <x:v>R</x:v>
      </x:c>
      <x:c r="F453" s="9" t="str">
        <x:v>high</x:v>
      </x:c>
      <x:c r="G453" s="3" t="str">
        <x:v>PA04</x:v>
      </x:c>
      <x:c r="H453" s="3" t="str">
        <x:v>Deferred capability catalogs select instruction/tool bundles and reconstruct loaded IDs; required source sufficiency and material omissions are caller-owned.</x:v>
      </x:c>
      <x:c r="I453" s="3" t="str">
        <x:v>https://pydantic.dev/docs/ai/capabilities/on-demand/</x:v>
      </x:c>
    </x:row>
    <x:row r="454" ht="49.5" customHeight="1">
      <x:c r="A454" s="3" t="str">
        <x:v>PYDANTIC</x:v>
      </x:c>
      <x:c r="B454" s="3" t="str">
        <x:v>Pydantic AI</x:v>
      </x:c>
      <x:c r="C454" s="3" t="str">
        <x:v>C08</x:v>
      </x:c>
      <x:c r="D454" s="9" t="n">
        <x:v>2</x:v>
      </x:c>
      <x:c r="E454" s="9" t="str">
        <x:v>R</x:v>
      </x:c>
      <x:c r="F454" s="9" t="str">
        <x:v>high</x:v>
      </x:c>
      <x:c r="G454" s="3" t="str">
        <x:v>PA02</x:v>
      </x:c>
      <x:c r="H454" s="3" t="str">
        <x:v>Per-request input ceilings optionally count tokens before sending; default checks occur after billing. Required-context sufficiency is not determined automatically.</x:v>
      </x:c>
      <x:c r="I454" s="3" t="str">
        <x:v>https://pydantic.dev/docs/ai/core-concepts/agent/</x:v>
      </x:c>
    </x:row>
    <x:row r="455" ht="49.5" customHeight="1">
      <x:c r="A455" s="3" t="str">
        <x:v>PYDANTIC</x:v>
      </x:c>
      <x:c r="B455" s="3" t="str">
        <x:v>Pydantic AI</x:v>
      </x:c>
      <x:c r="C455" s="3" t="str">
        <x:v>C09</x:v>
      </x:c>
      <x:c r="D455" s="9" t="n">
        <x:v>2</x:v>
      </x:c>
      <x:c r="E455" s="9" t="str">
        <x:v>R</x:v>
      </x:c>
      <x:c r="F455" s="9" t="str">
        <x:v>high</x:v>
      </x:c>
      <x:c r="G455" s="3" t="str">
        <x:v>PA05</x:v>
      </x:c>
      <x:c r="H455" s="3" t="str">
        <x:v>Delegating tools and typed handoff functions support bounded subwork; the developer supplies adequate task decomposition and semantic joins.</x:v>
      </x:c>
      <x:c r="I455" s="3" t="str">
        <x:v>https://pydantic.dev/docs/ai/guides/multi-agent-applications/</x:v>
      </x:c>
    </x:row>
    <x:row r="456" ht="49.5" customHeight="1">
      <x:c r="A456" s="3" t="str">
        <x:v>PYDANTIC</x:v>
      </x:c>
      <x:c r="B456" s="3" t="str">
        <x:v>Pydantic AI</x:v>
      </x:c>
      <x:c r="C456" s="3" t="str">
        <x:v>C10</x:v>
      </x:c>
      <x:c r="D456" s="9" t="n">
        <x:v>2</x:v>
      </x:c>
      <x:c r="E456" s="9" t="str">
        <x:v>R</x:v>
      </x:c>
      <x:c r="F456" s="9" t="str">
        <x:v>high</x:v>
      </x:c>
      <x:c r="G456" s="3" t="str">
        <x:v>PA06
PA16</x:v>
      </x:c>
      <x:c r="H456" s="3" t="str">
        <x:v>Published engine integrations persist run progress across crashes with identity constraints; semantic validity of prior useful work still needs application checks.</x:v>
      </x:c>
      <x:c r="I456" s="3" t="str">
        <x:v>https://pydantic.dev/docs/ai/capabilities/durable_execution/overview/
https://pydantic.dev/docs/ai/capabilities/durable_execution/temporal/</x:v>
      </x:c>
    </x:row>
    <x:row r="457" ht="49.5" customHeight="1">
      <x:c r="A457" s="3" t="str">
        <x:v>PYDANTIC</x:v>
      </x:c>
      <x:c r="B457" s="3" t="str">
        <x:v>Pydantic AI</x:v>
      </x:c>
      <x:c r="C457" s="3" t="str">
        <x:v>C11</x:v>
      </x:c>
      <x:c r="D457" s="9" t="n">
        <x:v>2</x:v>
      </x:c>
      <x:c r="E457" s="9" t="str">
        <x:v>R</x:v>
      </x:c>
      <x:c r="F457" s="9" t="str">
        <x:v>medium</x:v>
      </x:c>
      <x:c r="G457" s="3" t="str">
        <x:v>PA08
PA05</x:v>
      </x:c>
      <x:c r="H457" s="3" t="str">
        <x:v>Deferred requests, denied tool results and explicit failure output unions support scoped next-action distinctions; a general epistemic-validity contract is not prescribed.</x:v>
      </x:c>
      <x:c r="I457" s="3" t="str">
        <x:v>https://pydantic.dev/docs/ai/guides/multi-agent-applications/
https://pydantic.dev/docs/ai/tools-toolsets/deferred-tools/</x:v>
      </x:c>
    </x:row>
    <x:row r="458" ht="49.5" customHeight="1">
      <x:c r="A458" s="3" t="str">
        <x:v>PYDANTIC</x:v>
      </x:c>
      <x:c r="B458" s="3" t="str">
        <x:v>Pydantic AI</x:v>
      </x:c>
      <x:c r="C458" s="3" t="str">
        <x:v>C12</x:v>
      </x:c>
      <x:c r="D458" s="9" t="n">
        <x:v>2</x:v>
      </x:c>
      <x:c r="E458" s="9" t="str">
        <x:v>G</x:v>
      </x:c>
      <x:c r="F458" s="9" t="str">
        <x:v>high</x:v>
      </x:c>
      <x:c r="G458" s="3" t="str">
        <x:v>PA07</x:v>
      </x:c>
      <x:c r="H458" s="3" t="str">
        <x:v>Docs explicitly identify effect-before-checkpoint duplication and require idempotency or engine at-most-once semantics; external-effect reconciliation is not automatically supplied.</x:v>
      </x:c>
      <x:c r="I458" s="3" t="str">
        <x:v>https://pydantic.dev/docs/ai/capabilities/durable_execution/backends/</x:v>
      </x:c>
    </x:row>
    <x:row r="459" ht="49.5" customHeight="1">
      <x:c r="A459" s="3" t="str">
        <x:v>PYDANTIC</x:v>
      </x:c>
      <x:c r="B459" s="3" t="str">
        <x:v>Pydantic AI</x:v>
      </x:c>
      <x:c r="C459" s="3" t="str">
        <x:v>C13</x:v>
      </x:c>
      <x:c r="D459" s="9" t="n">
        <x:v>2</x:v>
      </x:c>
      <x:c r="E459" s="9" t="str">
        <x:v>R</x:v>
      </x:c>
      <x:c r="F459" s="9" t="str">
        <x:v>high</x:v>
      </x:c>
      <x:c r="G459" s="3" t="str">
        <x:v>PA08
PA09</x:v>
      </x:c>
      <x:c r="H459" s="3" t="str">
        <x:v>Validated arguments and approval/denial IDs gate tools; untrusted clients can forge approval history, so server/tool authorization remains mandatory application work.</x:v>
      </x:c>
      <x:c r="I459" s="3" t="str">
        <x:v>https://pydantic.dev/docs/ai/tools-toolsets/deferred-tools/
https://pydantic.dev/docs/ai/tools-toolsets/tools-advanced/</x:v>
      </x:c>
    </x:row>
    <x:row r="460" ht="49.5" customHeight="1">
      <x:c r="A460" s="3" t="str">
        <x:v>PYDANTIC</x:v>
      </x:c>
      <x:c r="B460" s="3" t="str">
        <x:v>Pydantic AI</x:v>
      </x:c>
      <x:c r="C460" s="3" t="str">
        <x:v>C14</x:v>
      </x:c>
      <x:c r="D460" s="9" t="str">
        <x:v>U</x:v>
      </x:c>
      <x:c r="E460" s="9" t="str">
        <x:v>U</x:v>
      </x:c>
      <x:c r="F460" s="9" t="str">
        <x:v>medium</x:v>
      </x:c>
      <x:c r="G460" s="3" t="str">
        <x:v>PA11</x:v>
      </x:c>
      <x:c r="H460" s="3" t="str">
        <x:v>Optional evaluator composition separates execution and scoring, but inspected docs do not establish claim-relative assessor/reference independence.</x:v>
      </x:c>
      <x:c r="I460" s="3" t="str">
        <x:v>https://pydantic.dev/docs/ai/evals/evals/</x:v>
      </x:c>
    </x:row>
    <x:row r="461" ht="49.5" customHeight="1">
      <x:c r="A461" s="3" t="str">
        <x:v>PYDANTIC</x:v>
      </x:c>
      <x:c r="B461" s="3" t="str">
        <x:v>Pydantic AI</x:v>
      </x:c>
      <x:c r="C461" s="3" t="str">
        <x:v>C15</x:v>
      </x:c>
      <x:c r="D461" s="9" t="n">
        <x:v>2</x:v>
      </x:c>
      <x:c r="E461" s="9" t="str">
        <x:v>R</x:v>
      </x:c>
      <x:c r="F461" s="9" t="str">
        <x:v>high</x:v>
      </x:c>
      <x:c r="G461" s="3" t="str">
        <x:v>PA11</x:v>
      </x:c>
      <x:c r="H461" s="3" t="str">
        <x:v>Separately installed Pydantic Evals cases hold expected outputs apart from task results; faulty-oracle qualification controls must be authored.</x:v>
      </x:c>
      <x:c r="I461" s="3" t="str">
        <x:v>https://pydantic.dev/docs/ai/evals/evals/</x:v>
      </x:c>
    </x:row>
    <x:row r="462" ht="49.5" customHeight="1">
      <x:c r="A462" s="3" t="str">
        <x:v>PYDANTIC</x:v>
      </x:c>
      <x:c r="B462" s="3" t="str">
        <x:v>Pydantic AI</x:v>
      </x:c>
      <x:c r="C462" s="3" t="str">
        <x:v>C16</x:v>
      </x:c>
      <x:c r="D462" s="9" t="n">
        <x:v>1</x:v>
      </x:c>
      <x:c r="E462" s="9" t="str">
        <x:v>R</x:v>
      </x:c>
      <x:c r="F462" s="9" t="str">
        <x:v>medium</x:v>
      </x:c>
      <x:c r="G462" s="3" t="str">
        <x:v>PA08
PA11</x:v>
      </x:c>
      <x:c r="H462" s="3" t="str">
        <x:v>Tool approval and evaluator reports are distinct surfaces; behavioral/semantic claim judgment and owner acceptance authority lack a prescribed common relation.</x:v>
      </x:c>
      <x:c r="I462" s="3" t="str">
        <x:v>https://pydantic.dev/docs/ai/tools-toolsets/deferred-tools/
https://pydantic.dev/docs/ai/evals/evals/</x:v>
      </x:c>
    </x:row>
    <x:row r="463" ht="49.5" customHeight="1">
      <x:c r="A463" s="3" t="str">
        <x:v>PYDANTIC</x:v>
      </x:c>
      <x:c r="B463" s="3" t="str">
        <x:v>Pydantic AI</x:v>
      </x:c>
      <x:c r="C463" s="3" t="str">
        <x:v>C17</x:v>
      </x:c>
      <x:c r="D463" s="9" t="n">
        <x:v>2</x:v>
      </x:c>
      <x:c r="E463" s="9" t="str">
        <x:v>R</x:v>
      </x:c>
      <x:c r="F463" s="9" t="str">
        <x:v>high</x:v>
      </x:c>
      <x:c r="G463" s="3" t="str">
        <x:v>PA02
PA12</x:v>
      </x:c>
      <x:c r="H463" s="3" t="str">
        <x:v>Run/conversation IDs, metadata and instrumented model/tool spans scope execution provenance; exact subject/basis verdict binding requires additional application records.</x:v>
      </x:c>
      <x:c r="I463" s="3" t="str">
        <x:v>https://pydantic.dev/docs/ai/core-concepts/agent/
https://pydantic.dev/docs/ai/integrations/logfire/</x:v>
      </x:c>
    </x:row>
    <x:row r="464" ht="49.5" customHeight="1">
      <x:c r="A464" s="3" t="str">
        <x:v>PYDANTIC</x:v>
      </x:c>
      <x:c r="B464" s="3" t="str">
        <x:v>Pydantic AI</x:v>
      </x:c>
      <x:c r="C464" s="3" t="str">
        <x:v>C18</x:v>
      </x:c>
      <x:c r="D464" s="9" t="n">
        <x:v>2</x:v>
      </x:c>
      <x:c r="E464" s="9" t="str">
        <x:v>R</x:v>
      </x:c>
      <x:c r="F464" s="9" t="str">
        <x:v>medium</x:v>
      </x:c>
      <x:c r="G464" s="3" t="str">
        <x:v>PA10
PA11</x:v>
      </x:c>
      <x:c r="H464" s="3" t="str">
        <x:v>Native model/dependency overrides and optional eval datasets support deterministic/regression cases; refusal, uncertainty and changed-basis coverage is application-authored.</x:v>
      </x:c>
      <x:c r="I464" s="3" t="str">
        <x:v>https://pydantic.dev/docs/ai/guides/testing/
https://pydantic.dev/docs/ai/evals/evals/</x:v>
      </x:c>
    </x:row>
    <x:row r="465" ht="49.5" customHeight="1">
      <x:c r="A465" s="3" t="str">
        <x:v>PYDANTIC</x:v>
      </x:c>
      <x:c r="B465" s="3" t="str">
        <x:v>Pydantic AI</x:v>
      </x:c>
      <x:c r="C465" s="3" t="str">
        <x:v>C19</x:v>
      </x:c>
      <x:c r="D465" s="9" t="n">
        <x:v>3</x:v>
      </x:c>
      <x:c r="E465" s="9" t="str">
        <x:v>G</x:v>
      </x:c>
      <x:c r="F465" s="9" t="str">
        <x:v>high</x:v>
      </x:c>
      <x:c r="G465" s="3" t="str">
        <x:v>PA15
PA10</x:v>
      </x:c>
      <x:c r="H465" s="3" t="str">
        <x:v>Public installation, runnable examples and ordinary pytest patterns provide a usable starting path without private validator knowledge.</x:v>
      </x:c>
      <x:c r="I465" s="3" t="str">
        <x:v>https://pydantic.dev/docs/ai/guides/testing/
https://pydantic.dev/docs/ai/overview/</x:v>
      </x:c>
    </x:row>
    <x:row r="466" ht="49.5" customHeight="1">
      <x:c r="A466" s="3" t="str">
        <x:v>PYDANTIC</x:v>
      </x:c>
      <x:c r="B466" s="3" t="str">
        <x:v>Pydantic AI</x:v>
      </x:c>
      <x:c r="C466" s="3" t="str">
        <x:v>C20</x:v>
      </x:c>
      <x:c r="D466" s="9" t="n">
        <x:v>2</x:v>
      </x:c>
      <x:c r="E466" s="9" t="str">
        <x:v>R</x:v>
      </x:c>
      <x:c r="F466" s="9" t="str">
        <x:v>high</x:v>
      </x:c>
      <x:c r="G466" s="3" t="str">
        <x:v>PA03
PA04
PA14</x:v>
      </x:c>
      <x:c r="H466" s="3" t="str">
        <x:v>Core AgentSpecs and named capability schemas support reuse. Filesystem Skills belong to the separately installed harness and receive no native runtime credit.</x:v>
      </x:c>
      <x:c r="I466" s="3" t="str">
        <x:v>https://pydantic.dev/docs/ai/core-concepts/agent-spec/
https://pydantic.dev/docs/ai/capabilities/on-demand/
https://pydantic.dev/docs/ai/harness/skills/</x:v>
      </x:c>
    </x:row>
    <x:row r="467" ht="49.5" customHeight="1">
      <x:c r="A467" s="3" t="str">
        <x:v>PYDANTIC</x:v>
      </x:c>
      <x:c r="B467" s="3" t="str">
        <x:v>Pydantic AI</x:v>
      </x:c>
      <x:c r="C467" s="3" t="str">
        <x:v>C21</x:v>
      </x:c>
      <x:c r="D467" s="9" t="n">
        <x:v>2</x:v>
      </x:c>
      <x:c r="E467" s="9" t="str">
        <x:v>R</x:v>
      </x:c>
      <x:c r="F467" s="9" t="str">
        <x:v>high</x:v>
      </x:c>
      <x:c r="G467" s="3" t="str">
        <x:v>PA10
PA11</x:v>
      </x:c>
      <x:c r="H467" s="3" t="str">
        <x:v>Runtime testing integrates with pytest; dataset/trajectory experiments use explicitly composed pydantic-evals, with Logfire visualization optional.</x:v>
      </x:c>
      <x:c r="I467" s="3" t="str">
        <x:v>https://pydantic.dev/docs/ai/guides/testing/
https://pydantic.dev/docs/ai/evals/evals/</x:v>
      </x:c>
    </x:row>
    <x:row r="468" ht="49.5" customHeight="1">
      <x:c r="A468" s="3" t="str">
        <x:v>PYDANTIC</x:v>
      </x:c>
      <x:c r="B468" s="3" t="str">
        <x:v>Pydantic AI</x:v>
      </x:c>
      <x:c r="C468" s="3" t="str">
        <x:v>C22</x:v>
      </x:c>
      <x:c r="D468" s="9" t="n">
        <x:v>2</x:v>
      </x:c>
      <x:c r="E468" s="9" t="str">
        <x:v>R</x:v>
      </x:c>
      <x:c r="F468" s="9" t="str">
        <x:v>high</x:v>
      </x:c>
      <x:c r="G468" s="3" t="str">
        <x:v>PA02
PA05
PA12</x:v>
      </x:c>
      <x:c r="H468" s="3" t="str">
        <x:v>Native usage and OTel document token/cache/cost and delegate aggregation semantics; complete critical-path/context accounting and durable-context rollups still require careful composition.</x:v>
      </x:c>
      <x:c r="I468" s="3" t="str">
        <x:v>https://pydantic.dev/docs/ai/core-concepts/agent/
https://pydantic.dev/docs/ai/guides/multi-agent-applications/
https://pydantic.dev/docs/ai/integrations/logfire/</x:v>
      </x:c>
    </x:row>
    <x:row r="469" ht="49.5" customHeight="1">
      <x:c r="A469" s="3" t="str">
        <x:v>PYDANTIC</x:v>
      </x:c>
      <x:c r="B469" s="3" t="str">
        <x:v>Pydantic AI</x:v>
      </x:c>
      <x:c r="C469" s="3" t="str">
        <x:v>C23</x:v>
      </x:c>
      <x:c r="D469" s="9" t="str">
        <x:v>U</x:v>
      </x:c>
      <x:c r="E469" s="9" t="str">
        <x:v>U</x:v>
      </x:c>
      <x:c r="F469" s="9" t="str">
        <x:v>medium</x:v>
      </x:c>
      <x:c r="G469" s="3" t="str">
        <x:v>PA15
PA11</x:v>
      </x:c>
      <x:c r="H469" s="3" t="str">
        <x:v>Typed-runtime and eval-tool availability does not establish a measured matched effectiveness experiment for the selected framework.</x:v>
      </x:c>
      <x:c r="I469" s="3" t="str">
        <x:v>https://pydantic.dev/docs/ai/evals/evals/
https://pydantic.dev/docs/ai/overview/</x:v>
      </x:c>
    </x:row>
    <x:row r="470" ht="49.5" customHeight="1">
      <x:c r="A470" s="3" t="str">
        <x:v>PYDANTIC</x:v>
      </x:c>
      <x:c r="B470" s="3" t="str">
        <x:v>Pydantic AI</x:v>
      </x:c>
      <x:c r="C470" s="3" t="str">
        <x:v>C24</x:v>
      </x:c>
      <x:c r="D470" s="9" t="str">
        <x:v>U</x:v>
      </x:c>
      <x:c r="E470" s="9" t="str">
        <x:v>U</x:v>
      </x:c>
      <x:c r="F470" s="9" t="str">
        <x:v>medium</x:v>
      </x:c>
      <x:c r="G470" s="3" t="str">
        <x:v>PA10
PA07</x:v>
      </x:c>
      <x:c r="H470" s="3" t="str">
        <x:v>Mock-model tests and integration recovery guidance do not demonstrate fresh-actor instruction fidelity with faulty-guidance and oracle controls.</x:v>
      </x:c>
      <x:c r="I470" s="3" t="str">
        <x:v>https://pydantic.dev/docs/ai/capabilities/durable_execution/backends/
https://pydantic.dev/docs/ai/guides/testing/</x:v>
      </x:c>
    </x:row>
    <x:row r="471" ht="63" customHeight="1">
      <x:c r="A471" s="3" t="str">
        <x:v>PYDANTIC</x:v>
      </x:c>
      <x:c r="B471" s="3" t="str">
        <x:v>Pydantic AI</x:v>
      </x:c>
      <x:c r="C471" s="3" t="str">
        <x:v>C25</x:v>
      </x:c>
      <x:c r="D471" s="9" t="n">
        <x:v>1</x:v>
      </x:c>
      <x:c r="E471" s="9" t="str">
        <x:v>G</x:v>
      </x:c>
      <x:c r="F471" s="9" t="str">
        <x:v>high</x:v>
      </x:c>
      <x:c r="G471" s="3" t="str">
        <x:v>PA08
PA04</x:v>
      </x:c>
      <x:c r="H471" s="3" t="str">
        <x:v>Core docs explain untrusted client history can forge approvals and deferred instructions reach client-visible history. These explicit trust/exposure limits do not establish generic retrieved-instruction isolation or secret-egress enforcement.</x:v>
      </x:c>
      <x:c r="I471" s="3" t="str">
        <x:v>https://pydantic.dev/docs/ai/capabilities/on-demand/
https://pydantic.dev/docs/ai/tools-toolsets/deferred-tools/</x:v>
      </x:c>
    </x:row>
    <x:row r="472" ht="63" customHeight="1">
      <x:c r="A472" s="3" t="str">
        <x:v>PYDANTIC</x:v>
      </x:c>
      <x:c r="B472" s="3" t="str">
        <x:v>Pydantic AI</x:v>
      </x:c>
      <x:c r="C472" s="3" t="str">
        <x:v>C26</x:v>
      </x:c>
      <x:c r="D472" s="9" t="n">
        <x:v>2</x:v>
      </x:c>
      <x:c r="E472" s="9" t="str">
        <x:v>R</x:v>
      </x:c>
      <x:c r="F472" s="9" t="str">
        <x:v>high</x:v>
      </x:c>
      <x:c r="G472" s="3" t="str">
        <x:v>PA02
PA05</x:v>
      </x:c>
      <x:c r="H472" s="3" t="str">
        <x:v>Cost/token caps are often post-response; request/tool counts are scoped and exclude provider retries. Concurrency/queue bounds and tree cancellation exist; shared delegate usage requires explicit wiring, and synchronous effects can continue after cancellation.</x:v>
      </x:c>
      <x:c r="I472" s="3" t="str">
        <x:v>https://pydantic.dev/docs/ai/core-concepts/agent/
https://pydantic.dev/docs/ai/guides/multi-agent-applications/</x:v>
      </x:c>
    </x:row>
  </x:sheetData>
  <x:mergeCells>
    <x:mergeCell ref="A1:I1"/>
    <x:mergeCell ref="A2:I2"/>
  </x:mergeCells>
  <x:dataValidations count="2">
    <x:dataValidation type="list" sqref="D5:D472">
      <x:formula1>"0,1,2,3,U,NA"</x:formula1>
    </x:dataValidation>
    <x:dataValidation type="list" sqref="E5:E472">
      <x:formula1>"D,R,G,L,P,U"</x:formula1>
    </x:dataValidation>
  </x:dataValidations>
  <x:pageMargins left="0.7" right="0.7" top="0.75" bottom="0.75" header="0.3" footer="0.3"/>
  <x:tableParts count="1">
    <x:tablePart xmlns:r="http://schemas.openxmlformats.org/officeDocument/2006/relationships" r:id="R1c157b30e6c34e65"/>
  </x:tableParts>
</x:worksheet>
</file>

<file path=xl/worksheets/sheet9.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20" hidden="0" customWidth="1"/>
    <x:col min="2" max="2" width="13.890000343322754" hidden="0" customWidth="1"/>
    <x:col min="3" max="3" width="37.779998779296875" hidden="0" customWidth="1"/>
    <x:col min="4" max="4" width="76.66999816894531" hidden="0" customWidth="1"/>
    <x:col min="5" max="5" width="12.779999732971191" hidden="0" customWidth="1"/>
    <x:col min="6" max="6" width="53.33000183105469" hidden="0" customWidth="1"/>
  </x:cols>
  <x:sheetData>
    <x:row r="1" ht="25.5" customHeight="1">
      <x:c r="A1" s="4" t="str">
        <x:v>Primary sources and exact local selectors</x:v>
      </x:c>
      <x:c r="B1" s="4"/>
      <x:c r="C1" s="4"/>
      <x:c r="D1" s="4"/>
      <x:c r="E1" s="4"/>
      <x:c r="F1" s="4"/>
    </x:row>
    <x:row r="2" ht="31.5" customHeight="1">
      <x:c r="A2" s="5" t="str">
        <x:v>Rolling docs were accessed 2026-10-12. Local Git selectors bind named objects, not mutable peer worktrees.</x:v>
      </x:c>
      <x:c r="B2" s="5"/>
      <x:c r="C2" s="5"/>
      <x:c r="D2" s="5"/>
      <x:c r="E2" s="5"/>
      <x:c r="F2" s="5"/>
    </x:row>
    <x:row r="3" ht="7.5" customHeight="1">
      <x:c r="A3" s="3"/>
      <x:c r="B3" s="3"/>
      <x:c r="C3" s="3"/>
      <x:c r="D3" s="3"/>
      <x:c r="E3" s="3"/>
      <x:c r="F3" s="3"/>
    </x:row>
    <x:row r="4" ht="31.5" customHeight="1">
      <x:c r="A4" s="8" t="str">
        <x:v>Source ID</x:v>
      </x:c>
      <x:c r="B4" s="8" t="str">
        <x:v>Entry</x:v>
      </x:c>
      <x:c r="C4" s="8" t="str">
        <x:v>Primary source</x:v>
      </x:c>
      <x:c r="D4" s="8" t="str">
        <x:v>URL / immutable local selector</x:v>
      </x:c>
      <x:c r="E4" s="8" t="str">
        <x:v>Access date</x:v>
      </x:c>
      <x:c r="F4" s="8" t="str">
        <x:v>Source qualification</x:v>
      </x:c>
    </x:row>
    <x:row r="5" ht="49.5" customHeight="1">
      <x:c r="A5" s="3" t="str">
        <x:v>ST2-SPEC</x:v>
      </x:c>
      <x:c r="B5" s="3" t="str">
        <x:v>ST25</x:v>
      </x:c>
      <x:c r="C5" s="3" t="str">
        <x:v>STDO 2.5.1-rc.2 Spec Method</x:v>
      </x:c>
      <x:c r="D5" s="3" t="str">
        <x:v>stdo://releases/v2.5.1-rc.2/standards/SPEC_METHOD.md</x:v>
      </x:c>
      <x:c r="E5" s="3" t="str">
        <x:v>2026-10-12</x:v>
      </x:c>
      <x:c r="F5" s="3" t="str">
        <x:v>Installed immutable builder, byte identity selected by verified Product Definition; normative obligations, not runtime enforcement.</x:v>
      </x:c>
    </x:row>
    <x:row r="6" ht="49.5" customHeight="1">
      <x:c r="A6" s="3" t="str">
        <x:v>ST2-AC</x:v>
      </x:c>
      <x:c r="B6" s="3" t="str">
        <x:v>ST25</x:v>
      </x:c>
      <x:c r="C6" s="3" t="str">
        <x:v>STDO 2.5.1-rc.2 Axiomatic Calculus</x:v>
      </x:c>
      <x:c r="D6" s="3" t="str">
        <x:v>stdo://releases/v2.5.1-rc.2/standards/AXIOMATIC_CALCULUS.md</x:v>
      </x:c>
      <x:c r="E6" s="3" t="str">
        <x:v>2026-10-12</x:v>
      </x:c>
      <x:c r="F6" s="3" t="str">
        <x:v>Interpretation, scoped identity, judgment, basis and typed-composition laws.</x:v>
      </x:c>
    </x:row>
    <x:row r="7" ht="49.5" customHeight="1">
      <x:c r="A7" s="3" t="str">
        <x:v>ST2-RF</x:v>
      </x:c>
      <x:c r="B7" s="3" t="str">
        <x:v>ST25</x:v>
      </x:c>
      <x:c r="C7" s="3" t="str">
        <x:v>STDO 2.5.1-rc.2 Reference Frame Method</x:v>
      </x:c>
      <x:c r="D7" s="3" t="str">
        <x:v>stdo://releases/v2.5.1-rc.2/standards/REFERENCE_FRAME_METHOD.md</x:v>
      </x:c>
      <x:c r="E7" s="3" t="str">
        <x:v>2026-10-12</x:v>
      </x:c>
      <x:c r="F7" s="3" t="str">
        <x:v>Material closure, actor capability, closed results, frame functions and method self-qualification.</x:v>
      </x:c>
    </x:row>
    <x:row r="8" ht="49.5" customHeight="1">
      <x:c r="A8" s="3" t="str">
        <x:v>ST2-TICKET</x:v>
      </x:c>
      <x:c r="B8" s="3" t="str">
        <x:v>ST25</x:v>
      </x:c>
      <x:c r="C8" s="3" t="str">
        <x:v>STDO 2.5.1-rc.2 Ticket Method</x:v>
      </x:c>
      <x:c r="D8" s="3" t="str">
        <x:v>stdo://releases/v2.5.1-rc.2/standards/TICKET_METHOD.md</x:v>
      </x:c>
      <x:c r="E8" s="3" t="str">
        <x:v>2026-10-12</x:v>
      </x:c>
      <x:c r="F8" s="3" t="str">
        <x:v>Execution admission and recorded judgment/owner-ruling continuity.</x:v>
      </x:c>
    </x:row>
    <x:row r="9" ht="49.5" customHeight="1">
      <x:c r="A9" s="3" t="str">
        <x:v>ST2-REL</x:v>
      </x:c>
      <x:c r="B9" s="3" t="str">
        <x:v>ST25</x:v>
      </x:c>
      <x:c r="C9" s="3" t="str">
        <x:v>STDO 2.5.1-rc.2 Release Method</x:v>
      </x:c>
      <x:c r="D9" s="3" t="str">
        <x:v>stdo://releases/v2.5.1-rc.2/standards/RELEASE_METHOD.md</x:v>
      </x:c>
      <x:c r="E9" s="3" t="str">
        <x:v>2026-10-12</x:v>
      </x:c>
      <x:c r="F9" s="3" t="str">
        <x:v>Constructed Product release/adoption and successor baseline conservation.</x:v>
      </x:c>
    </x:row>
    <x:row r="10" ht="49.5" customHeight="1">
      <x:c r="A10" s="3" t="str">
        <x:v>ST2-BASE</x:v>
      </x:c>
      <x:c r="B10" s="3" t="str">
        <x:v>ST25</x:v>
      </x:c>
      <x:c r="C10" s="3" t="str">
        <x:v>STDO 2.5.1-rc.2 baseline and README</x:v>
      </x:c>
      <x:c r="D10" s="3" t="str">
        <x:v>stdo://releases/v2.5.1-rc.2/standards/STDO_REFERENCE_FRAME_BASELINE.md</x:v>
      </x:c>
      <x:c r="E10" s="3" t="str">
        <x:v>2026-10-12</x:v>
      </x:c>
      <x:c r="F10" s="3" t="str">
        <x:v>Ordinary entrypoints through installed README and bootstrap; baseline frames do not eliminate exact owner acquisition.</x:v>
      </x:c>
    </x:row>
    <x:row r="11" ht="49.5" customHeight="1">
      <x:c r="A11" s="3" t="str">
        <x:v>CLA-README</x:v>
      </x:c>
      <x:c r="B11" s="3" t="str">
        <x:v>ST3C</x:v>
      </x:c>
      <x:c r="C11" s="3" t="str">
        <x:v>Claude candidate corpus entrypoint</x:v>
      </x:c>
      <x:c r="D11" s="3" t="str">
        <x:v>git show e1bcd802f2ebf3b695ef5f6e94780d3f00f29d0d:specification_methodology/v3/build_tenants/claude/standards/README.md</x:v>
      </x:c>
      <x:c r="E11" s="3" t="str">
        <x:v>2026-10-12</x:v>
      </x:c>
      <x:c r="F11" s="3" t="str">
        <x:v>Member-by-member construction; not released, installed or common law.</x:v>
      </x:c>
    </x:row>
    <x:row r="12" ht="49.5" customHeight="1">
      <x:c r="A12" s="3" t="str">
        <x:v>CLA-FOUND</x:v>
      </x:c>
      <x:c r="B12" s="3" t="str">
        <x:v>ST3C</x:v>
      </x:c>
      <x:c r="C12" s="3" t="str">
        <x:v>Claude Foundations</x:v>
      </x:c>
      <x:c r="D12" s="3" t="str">
        <x:v>git show e1bcd802f2ebf3b695ef5f6e94780d3f00f29d0d:specification_methodology/v3/build_tenants/claude/standards/FOUNDATIONS.md</x:v>
      </x:c>
      <x:c r="E12" s="3" t="str">
        <x:v>2026-10-12</x:v>
      </x:c>
      <x:c r="F12" s="3" t="str">
        <x:v>Ontology, P0–P6, declared standing, frame tuple and conservation.</x:v>
      </x:c>
    </x:row>
    <x:row r="13" ht="49.5" customHeight="1">
      <x:c r="A13" s="3" t="str">
        <x:v>CLA-ACT</x:v>
      </x:c>
      <x:c r="B13" s="3" t="str">
        <x:v>ST3C</x:v>
      </x:c>
      <x:c r="C13" s="3" t="str">
        <x:v>Claude Activation</x:v>
      </x:c>
      <x:c r="D13" s="3" t="str">
        <x:v>git show e1bcd802f2ebf3b695ef5f6e94780d3f00f29d0d:specification_methodology/v3/build_tenants/claude/standards/ACTIVATION.md</x:v>
      </x:c>
      <x:c r="E13" s="3" t="str">
        <x:v>2026-10-12</x:v>
      </x:c>
      <x:c r="F13" s="3" t="str">
        <x:v>Context construction, measured fit, refinement, work state, total results, scoped cost and reuse.</x:v>
      </x:c>
    </x:row>
    <x:row r="14" ht="49.5" customHeight="1">
      <x:c r="A14" s="3" t="str">
        <x:v>CLA-EVAL</x:v>
      </x:c>
      <x:c r="B14" s="3" t="str">
        <x:v>ST3C</x:v>
      </x:c>
      <x:c r="C14" s="3" t="str">
        <x:v>Claude Evaluation</x:v>
      </x:c>
      <x:c r="D14" s="3" t="str">
        <x:v>git show e1bcd802f2ebf3b695ef5f6e94780d3f00f29d0d:specification_methodology/v3/build_tenants/claude/standards/EVALUATION.md</x:v>
      </x:c>
      <x:c r="E14" s="3" t="str">
        <x:v>2026-10-12</x:v>
      </x:c>
      <x:c r="F14" s="3" t="str">
        <x:v>Independent assessment, claim limits, fresh method qualification and recoverability benchmark.</x:v>
      </x:c>
    </x:row>
    <x:row r="15" ht="49.5" customHeight="1">
      <x:c r="A15" s="3" t="str">
        <x:v>CLA-SPEC</x:v>
      </x:c>
      <x:c r="B15" s="3" t="str">
        <x:v>ST3C</x:v>
      </x:c>
      <x:c r="C15" s="3" t="str">
        <x:v>Claude Spec Method</x:v>
      </x:c>
      <x:c r="D15" s="3" t="str">
        <x:v>git show e1bcd802f2ebf3b695ef5f6e94780d3f00f29d0d:specification_methodology/v3/build_tenants/claude/standards/SPEC_METHOD.md</x:v>
      </x:c>
      <x:c r="E15" s="3" t="str">
        <x:v>2026-10-12</x:v>
      </x:c>
      <x:c r="F15" s="3" t="str">
        <x:v>Core Product construction and release/profile routes; successor corpus still under construction.</x:v>
      </x:c>
    </x:row>
    <x:row r="16" ht="49.5" customHeight="1">
      <x:c r="A16" s="3" t="str">
        <x:v>CLA-F01</x:v>
      </x:c>
      <x:c r="B16" s="3" t="str">
        <x:v>ST3C</x:v>
      </x:c>
      <x:c r="C16" s="3" t="str">
        <x:v>Claude F-01 cold run provenance</x:v>
      </x:c>
      <x:c r="D16" s="3" t="str">
        <x:v>git show e1bcd802f2ebf3b695ef5f6e94780d3f00f29d0d:specification_methodology/v3/build_tenants/claude/qualification/runs/F-01/RUNS.md</x:v>
      </x:c>
      <x:c r="E16" s="3" t="str">
        <x:v>2026-10-12</x:v>
      </x:c>
      <x:c r="F16" s="3" t="str">
        <x:v>Four measured cold contexts with frame identities, provider usage and output artifacts; runner expressly did not assess outputs.</x:v>
      </x:c>
    </x:row>
    <x:row r="17" ht="49.5" customHeight="1">
      <x:c r="A17" s="3" t="str">
        <x:v>CDX-README</x:v>
      </x:c>
      <x:c r="B17" s="3" t="str">
        <x:v>ST3X</x:v>
      </x:c>
      <x:c r="C17" s="3" t="str">
        <x:v>Codex successor corpus entrypoint</x:v>
      </x:c>
      <x:c r="D17" s="3" t="str">
        <x:v>git show 427a0deb39b7cd8e298b3b2ebc126c052f056d8a:specification_methodology/v3/build_tenants/codex/successor/standards/README.md</x:v>
      </x:c>
      <x:c r="E17" s="3" t="str">
        <x:v>2026-10-12</x:v>
      </x:c>
      <x:c r="F17" s="3" t="str">
        <x:v>Standalone successor construction cut, explanatory foundations/library plus detailed owners; not released or adopted.</x:v>
      </x:c>
    </x:row>
    <x:row r="18" ht="49.5" customHeight="1">
      <x:c r="A18" s="3" t="str">
        <x:v>CDX-FOUND</x:v>
      </x:c>
      <x:c r="B18" s="3" t="str">
        <x:v>ST3X</x:v>
      </x:c>
      <x:c r="C18" s="3" t="str">
        <x:v>Codex successor Foundations</x:v>
      </x:c>
      <x:c r="D18" s="3" t="str">
        <x:v>git show 427a0deb39b7cd8e298b3b2ebc126c052f056d8a:specification_methodology/v3/build_tenants/codex/successor/standards/FOUNDATIONS.md</x:v>
      </x:c>
      <x:c r="E18" s="3" t="str">
        <x:v>2026-10-12</x:v>
      </x:c>
      <x:c r="F18" s="3" t="str">
        <x:v>Premises, identity, interpretation, conservation, truthful capacity response and uncertain-effect handling.</x:v>
      </x:c>
    </x:row>
    <x:row r="19" ht="49.5" customHeight="1">
      <x:c r="A19" s="3" t="str">
        <x:v>CDX-SPEC</x:v>
      </x:c>
      <x:c r="B19" s="3" t="str">
        <x:v>ST3X</x:v>
      </x:c>
      <x:c r="C19" s="3" t="str">
        <x:v>Codex successor Spec Method</x:v>
      </x:c>
      <x:c r="D19" s="3" t="str">
        <x:v>git show 427a0deb39b7cd8e298b3b2ebc126c052f056d8a:specification_methodology/v3/build_tenants/codex/successor/standards/SPEC_METHOD.md</x:v>
      </x:c>
      <x:c r="E19" s="3" t="str">
        <x:v>2026-10-12</x:v>
      </x:c>
      <x:c r="F19" s="3" t="str">
        <x:v>Detailed construction authority, change classes, outcome, proportionality and UP-022 assurance owner.</x:v>
      </x:c>
    </x:row>
    <x:row r="20" ht="49.5" customHeight="1">
      <x:c r="A20" s="3" t="str">
        <x:v>CDX-RF</x:v>
      </x:c>
      <x:c r="B20" s="3" t="str">
        <x:v>ST3X</x:v>
      </x:c>
      <x:c r="C20" s="3" t="str">
        <x:v>Codex successor Reference Frame Method</x:v>
      </x:c>
      <x:c r="D20" s="3" t="str">
        <x:v>git show 427a0deb39b7cd8e298b3b2ebc126c052f056d8a:specification_methodology/v3/build_tenants/codex/successor/standards/REFERENCE_FRAME_METHOD.md</x:v>
      </x:c>
      <x:c r="E20" s="3" t="str">
        <x:v>2026-10-12</x:v>
      </x:c>
      <x:c r="F20" s="3" t="str">
        <x:v>Detailed frame functions, capability fit, closed results, explicit exclusions and method qualification.</x:v>
      </x:c>
    </x:row>
    <x:row r="21" ht="49.5" customHeight="1">
      <x:c r="A21" s="3" t="str">
        <x:v>CDX-REL</x:v>
      </x:c>
      <x:c r="B21" s="3" t="str">
        <x:v>ST3X</x:v>
      </x:c>
      <x:c r="C21" s="3" t="str">
        <x:v>Codex successor Release Method</x:v>
      </x:c>
      <x:c r="D21" s="3" t="str">
        <x:v>git show 427a0deb39b7cd8e298b3b2ebc126c052f056d8a:specification_methodology/v3/build_tenants/codex/successor/standards/RELEASE_METHOD.md</x:v>
      </x:c>
      <x:c r="E21" s="3" t="str">
        <x:v>2026-10-12</x:v>
      </x:c>
      <x:c r="F21" s="3" t="str">
        <x:v>Detailed constructed-Product release/adoption owner.</x:v>
      </x:c>
    </x:row>
    <x:row r="22" ht="49.5" customHeight="1">
      <x:c r="A22" s="3" t="str">
        <x:v>CDX-EXEC</x:v>
      </x:c>
      <x:c r="B22" s="3" t="str">
        <x:v>ST3X</x:v>
      </x:c>
      <x:c r="C22" s="3" t="str">
        <x:v>Codex C3 execution and repair record</x:v>
      </x:c>
      <x:c r="D22" s="3" t="str">
        <x:v>git show 427a0deb39b7cd8e298b3b2ebc126c052f056d8a:specification_methodology/v3/build_tenants/codex/qualification/C3/EXECUTION.md</x:v>
      </x:c>
      <x:c r="E22" s="3" t="str">
        <x:v>2026-10-12</x:v>
      </x:c>
      <x:c r="F22" s="3" t="str">
        <x:v>690-row predecessor frontier and named local reviews; post-repair independent confirmation remains open for selected seams.</x:v>
      </x:c>
    </x:row>
    <x:row r="23" ht="49.5" customHeight="1">
      <x:c r="A23" s="3" t="str">
        <x:v>CDX-DOMAIN</x:v>
      </x:c>
      <x:c r="B23" s="3" t="str">
        <x:v>ST3X</x:v>
      </x:c>
      <x:c r="C23" s="3" t="str">
        <x:v>Codex fresh domain-use review</x:v>
      </x:c>
      <x:c r="D23" s="3" t="str">
        <x:v>git show 427a0deb39b7cd8e298b3b2ebc126c052f056d8a:specification_methodology/v3/build_tenants/codex/qualification/C3/use/domain/REVIEW.md</x:v>
      </x:c>
      <x:c r="E23" s="3" t="str">
        <x:v>2026-10-12</x:v>
      </x:c>
      <x:c r="F23" s="3" t="str">
        <x:v>Fresh non-author actor used supplied task/view; seeded violations found; exact limitations on source-byte/digest and broader claims retained.</x:v>
      </x:c>
    </x:row>
    <x:row r="24" ht="49.5" customHeight="1">
      <x:c r="A24" s="3" t="str">
        <x:v>CDX-FIDELITY</x:v>
      </x:c>
      <x:c r="B24" s="3" t="str">
        <x:v>ST3X</x:v>
      </x:c>
      <x:c r="C24" s="3" t="str">
        <x:v>Codex a_c interpretation-fidelity review</x:v>
      </x:c>
      <x:c r="D24" s="3" t="str">
        <x:v>git show 427a0deb39b7cd8e298b3b2ebc126c052f056d8a:specification_methodology/v3/build_tenants/codex/qualification/C3/a_c/review/REVIEW.md</x:v>
      </x:c>
      <x:c r="E24" s="3" t="str">
        <x:v>2026-10-12</x:v>
      </x:c>
      <x:c r="F24" s="3" t="str">
        <x:v>Historical assessed subject b0ec615c; wrong-permission mutant falsified, admitted program indeterminate, finite model only partially supports source. Repairs at later pin need fresh confirmation.</x:v>
      </x:c>
    </x:row>
    <x:row r="25" ht="49.5" customHeight="1">
      <x:c r="A25" s="3" t="str">
        <x:v>SP01</x:v>
      </x:c>
      <x:c r="B25" s="3" t="str">
        <x:v>SPECKIT</x:v>
      </x:c>
      <x:c r="C25" s="3" t="str">
        <x:v>Spec Kit README</x:v>
      </x:c>
      <x:c r="D25" s="3" t="str">
        <x:v>https://github.com/github/spec-kit</x:v>
      </x:c>
      <x:c r="E25" s="3" t="str">
        <x:v>2026-10-12</x:v>
      </x:c>
      <x:c r="F25" s="3" t="str">
        <x:v>Purpose, process choices, installation, supported coding-agent entry, MIT license.</x:v>
      </x:c>
    </x:row>
    <x:row r="26" ht="49.5" customHeight="1">
      <x:c r="A26" s="3" t="str">
        <x:v>SP02</x:v>
      </x:c>
      <x:c r="B26" s="3" t="str">
        <x:v>SPECKIT</x:v>
      </x:c>
      <x:c r="C26" s="3" t="str">
        <x:v>Agentic SDD reference</x:v>
      </x:c>
      <x:c r="D26" s="3" t="str">
        <x:v>https://github.com/github/spec-kit/blob/main/docs/reference/agentic-sdd.md</x:v>
      </x:c>
      <x:c r="E26" s="3" t="str">
        <x:v>2026-10-12</x:v>
      </x:c>
      <x:c r="F26" s="3" t="str">
        <x:v>Constitution, specify/plan/tasks, optional quality gates, implementation and convergence.</x:v>
      </x:c>
    </x:row>
    <x:row r="27" ht="49.5" customHeight="1">
      <x:c r="A27" s="3" t="str">
        <x:v>SP03</x:v>
      </x:c>
      <x:c r="B27" s="3" t="str">
        <x:v>SPECKIT</x:v>
      </x:c>
      <x:c r="C27" s="3" t="str">
        <x:v>Analyze command template</x:v>
      </x:c>
      <x:c r="D27" s="3" t="str">
        <x:v>https://github.com/github/spec-kit/blob/main/templates/commands/analyze.md</x:v>
      </x:c>
      <x:c r="E27" s="3" t="str">
        <x:v>2026-10-12</x:v>
      </x:c>
      <x:c r="F27" s="3" t="str">
        <x:v>Method instructions: minimal context, constitution authority, coverage inventory, findings and remediation.</x:v>
      </x:c>
    </x:row>
    <x:row r="28" ht="49.5" customHeight="1">
      <x:c r="A28" s="3" t="str">
        <x:v>SP04</x:v>
      </x:c>
      <x:c r="B28" s="3" t="str">
        <x:v>SPECKIT</x:v>
      </x:c>
      <x:c r="C28" s="3" t="str">
        <x:v>Converge command template</x:v>
      </x:c>
      <x:c r="D28" s="3" t="str">
        <x:v>https://github.com/github/spec-kit/blob/main/templates/commands/converge.md</x:v>
      </x:c>
      <x:c r="E28" s="3" t="str">
        <x:v>2026-10-12</x:v>
      </x:c>
      <x:c r="F28" s="3" t="str">
        <x:v>Method instructions: scoped intent inventory, code evidence, gap classification and append-only repair tasks.</x:v>
      </x:c>
    </x:row>
    <x:row r="29" ht="49.5" customHeight="1">
      <x:c r="A29" s="3" t="str">
        <x:v>SP05</x:v>
      </x:c>
      <x:c r="B29" s="3" t="str">
        <x:v>SPECKIT</x:v>
      </x:c>
      <x:c r="C29" s="3" t="str">
        <x:v>Workflows reference</x:v>
      </x:c>
      <x:c r="D29" s="3" t="str">
        <x:v>https://github.com/github/spec-kit/blob/main/docs/reference/workflows.md</x:v>
      </x:c>
      <x:c r="E29" s="3" t="str">
        <x:v>2026-10-12</x:v>
      </x:c>
      <x:c r="F29" s="3" t="str">
        <x:v>Runtime composition, fan-out/in, gates, persisted execution and resume; explicitly no capability sandbox.</x:v>
      </x:c>
    </x:row>
    <x:row r="30" ht="49.5" customHeight="1">
      <x:c r="A30" s="3" t="str">
        <x:v>SP06</x:v>
      </x:c>
      <x:c r="B30" s="3" t="str">
        <x:v>SPECKIT</x:v>
      </x:c>
      <x:c r="C30" s="3" t="str">
        <x:v>Evolving Specs in Existing Projects</x:v>
      </x:c>
      <x:c r="D30" s="3" t="str">
        <x:v>https://github.github.io/spec-kit/guides/evolving-specs.html</x:v>
      </x:c>
      <x:c r="E30" s="3" t="str">
        <x:v>2026-10-12</x:v>
      </x:c>
      <x:c r="F30" s="3" t="str">
        <x:v>Alternative persistence models, upstream/downstream alignment and preservation of useful rationale.</x:v>
      </x:c>
    </x:row>
    <x:row r="31" ht="49.5" customHeight="1">
      <x:c r="A31" s="3" t="str">
        <x:v>SP07</x:v>
      </x:c>
      <x:c r="B31" s="3" t="str">
        <x:v>SPECKIT</x:v>
      </x:c>
      <x:c r="C31" s="3" t="str">
        <x:v>Workflow Engine README</x:v>
      </x:c>
      <x:c r="D31" s="3" t="str">
        <x:v>https://raw.githubusercontent.com/github/spec-kit/main/workflows/README.md</x:v>
      </x:c>
      <x:c r="E31" s="3" t="str">
        <x:v>2026-10-12</x:v>
      </x:c>
      <x:c r="F31" s="3" t="str">
        <x:v>Rolling main documentation: raw interpolation/allowlist guidance, loop limits, shell timeout, concurrency setting and abort behavior; no execution trial.</x:v>
      </x:c>
    </x:row>
    <x:row r="32" ht="49.5" customHeight="1">
      <x:c r="A32" s="3" t="str">
        <x:v>BM01</x:v>
      </x:c>
      <x:c r="B32" s="3" t="str">
        <x:v>BMAD</x:v>
      </x:c>
      <x:c r="C32" s="3" t="str">
        <x:v>BMad v6.12.2 README</x:v>
      </x:c>
      <x:c r="D32" s="3" t="str">
        <x:v>https://raw.githubusercontent.com/bmad-code-org/BMAD-METHOD/v6.12.2/README.md</x:v>
      </x:c>
      <x:c r="E32" s="3" t="str">
        <x:v>2026-10-12</x:v>
      </x:c>
      <x:c r="F32" s="3" t="str">
        <x:v>Core scope, prerequisites, first use, optional ecosystem modules and MIT license.</x:v>
      </x:c>
    </x:row>
    <x:row r="33" ht="49.5" customHeight="1">
      <x:c r="A33" s="3" t="str">
        <x:v>BM02</x:v>
      </x:c>
      <x:c r="B33" s="3" t="str">
        <x:v>BMAD</x:v>
      </x:c>
      <x:c r="C33" s="3" t="str">
        <x:v>Build a Change</x:v>
      </x:c>
      <x:c r="D33" s="3" t="str">
        <x:v>https://raw.githubusercontent.com/bmad-code-org/BMAD-METHOD/v6.12.2/docs/build/build-a-change.md</x:v>
      </x:c>
      <x:c r="E33" s="3" t="str">
        <x:v>2026-10-12</x:v>
      </x:c>
      <x:c r="F33" s="3" t="str">
        <x:v>One-goal scope, fresh context, plan approval, upstream correction and preserved implementation records.</x:v>
      </x:c>
    </x:row>
    <x:row r="34" ht="49.5" customHeight="1">
      <x:c r="A34" s="3" t="str">
        <x:v>BM03</x:v>
      </x:c>
      <x:c r="B34" s="3" t="str">
        <x:v>BMAD</x:v>
      </x:c>
      <x:c r="C34" s="3" t="str">
        <x:v>Review a Change</x:v>
      </x:c>
      <x:c r="D34" s="3" t="str">
        <x:v>https://raw.githubusercontent.com/bmad-code-org/BMAD-METHOD/v6.12.2/docs/build/review-a-change.md</x:v>
      </x:c>
      <x:c r="E34" s="3" t="str">
        <x:v>2026-10-12</x:v>
      </x:c>
      <x:c r="F34" s="3" t="str">
        <x:v>Separate reviewers/lenses, supplied intent, verified consequence triage and human choices.</x:v>
      </x:c>
    </x:row>
    <x:row r="35" ht="49.5" customHeight="1">
      <x:c r="A35" s="3" t="str">
        <x:v>BM04</x:v>
      </x:c>
      <x:c r="B35" s="3" t="str">
        <x:v>BMAD</x:v>
      </x:c>
      <x:c r="C35" s="3" t="str">
        <x:v>Define Requirements and a Specification</x:v>
      </x:c>
      <x:c r="D35" s="3" t="str">
        <x:v>https://raw.githubusercontent.com/bmad-code-org/BMAD-METHOD/v6.12.2/docs/plan/define-requirements-and-a-specification.md</x:v>
      </x:c>
      <x:c r="E35" s="3" t="str">
        <x:v>2026-10-12</x:v>
      </x:c>
      <x:c r="F35" s="3" t="str">
        <x:v>PRD/spec separation, capability IDs, non-goals, success conditions, input limits and story breakdown.</x:v>
      </x:c>
    </x:row>
    <x:row r="36" ht="49.5" customHeight="1">
      <x:c r="A36" s="3" t="str">
        <x:v>BM05</x:v>
      </x:c>
      <x:c r="B36" s="3" t="str">
        <x:v>BMAD</x:v>
      </x:c>
      <x:c r="C36" s="3" t="str">
        <x:v>Break Work into Stories and Track It</x:v>
      </x:c>
      <x:c r="D36" s="3" t="str">
        <x:v>https://raw.githubusercontent.com/bmad-code-org/BMAD-METHOD/v6.12.2/docs/plan/break-work-into-stories-and-track-it.md</x:v>
      </x:c>
      <x:c r="E36" s="3" t="str">
        <x:v>2026-10-12</x:v>
      </x:c>
      <x:c r="F36" s="3" t="str">
        <x:v>Readiness PASS/CONCERNS/FAIL, dependent-document checks, durable tracking and course correction.</x:v>
      </x:c>
    </x:row>
    <x:row r="37" ht="49.5" customHeight="1">
      <x:c r="A37" s="3" t="str">
        <x:v>BM06</x:v>
      </x:c>
      <x:c r="B37" s="3" t="str">
        <x:v>BMAD</x:v>
      </x:c>
      <x:c r="C37" s="3" t="str">
        <x:v>Test Completed Work</x:v>
      </x:c>
      <x:c r="D37" s="3" t="str">
        <x:v>https://raw.githubusercontent.com/bmad-code-org/BMAD-METHOD/v6.12.2/docs/build/test-completed-work.md</x:v>
      </x:c>
      <x:c r="E37" s="3" t="str">
        <x:v>2026-10-12</x:v>
      </x:c>
      <x:c r="F37" s="3" t="str">
        <x:v>Built-in QA generates from implemented code; heavier TEA assurance remains a separate add-on.</x:v>
      </x:c>
    </x:row>
    <x:row r="38" ht="49.5" customHeight="1">
      <x:c r="A38" s="3" t="str">
        <x:v>BM07</x:v>
      </x:c>
      <x:c r="B38" s="3" t="str">
        <x:v>BMAD</x:v>
      </x:c>
      <x:c r="C38" s="3" t="str">
        <x:v>Set and Maintain Project Context</x:v>
      </x:c>
      <x:c r="D38" s="3" t="str">
        <x:v>https://raw.githubusercontent.com/bmad-code-org/BMAD-METHOD/v6.12.2/docs/existing-codebases/set-and-maintain-project-context.md</x:v>
      </x:c>
      <x:c r="E38" s="3" t="str">
        <x:v>2026-10-12</x:v>
      </x:c>
      <x:c r="F38" s="3" t="str">
        <x:v>Verified source pointers, context exclusions, owner-approved edits, refresh and observed-pitfall feedback.</x:v>
      </x:c>
    </x:row>
    <x:row r="39" ht="49.5" customHeight="1">
      <x:c r="A39" s="3" t="str">
        <x:v>BM08</x:v>
      </x:c>
      <x:c r="B39" s="3" t="str">
        <x:v>BMAD</x:v>
      </x:c>
      <x:c r="C39" s="3" t="str">
        <x:v>Finish an Epic</x:v>
      </x:c>
      <x:c r="D39" s="3" t="str">
        <x:v>https://raw.githubusercontent.com/bmad-code-org/BMAD-METHOD/v6.12.2/docs/build/finish-an-epic.md</x:v>
      </x:c>
      <x:c r="E39" s="3" t="str">
        <x:v>2026-10-12</x:v>
      </x:c>
      <x:c r="F39" s="3" t="str">
        <x:v>Whole-epic evidence inventory, seam review, behavioral checks, acceptance verdict and owner override.</x:v>
      </x:c>
    </x:row>
    <x:row r="40" ht="49.5" customHeight="1">
      <x:c r="A40" s="3" t="str">
        <x:v>BM09</x:v>
      </x:c>
      <x:c r="B40" s="3" t="str">
        <x:v>BMAD</x:v>
      </x:c>
      <x:c r="C40" s="3" t="str">
        <x:v>Autonomous Development Loops v6.12.2</x:v>
      </x:c>
      <x:c r="D40" s="3" t="str">
        <x:v>https://raw.githubusercontent.com/bmad-code-org/BMAD-METHOD/v6.12.2/docs/build/autonomous-development-loops.md</x:v>
      </x:c>
      <x:c r="E40" s="3" t="str">
        <x:v>2026-10-12</x:v>
      </x:c>
      <x:c r="F40" s="3" t="str">
        <x:v>Pinned stable core worker contract: caller-only dispatch fields, one-unit ownership, halt outcomes and external orchestration; separate Loop add-on excluded.</x:v>
      </x:c>
    </x:row>
    <x:row r="41" ht="49.5" customHeight="1">
      <x:c r="A41" s="3" t="str">
        <x:v>OP01</x:v>
      </x:c>
      <x:c r="B41" s="3" t="str">
        <x:v>OPENSPEC</x:v>
      </x:c>
      <x:c r="C41" s="3" t="str">
        <x:v>OpenSpec README</x:v>
      </x:c>
      <x:c r="D41" s="3" t="str">
        <x:v>https://github.com/Fission-AI/OpenSpec</x:v>
      </x:c>
      <x:c r="E41" s="3" t="str">
        <x:v>2026-10-12</x:v>
      </x:c>
      <x:c r="F41" s="3" t="str">
        <x:v>Spec-layer purpose, human review, setup, integrations, self-use and telemetry/license scope.</x:v>
      </x:c>
    </x:row>
    <x:row r="42" ht="49.5" customHeight="1">
      <x:c r="A42" s="3" t="str">
        <x:v>OP02</x:v>
      </x:c>
      <x:c r="B42" s="3" t="str">
        <x:v>OPENSPEC</x:v>
      </x:c>
      <x:c r="C42" s="3" t="str">
        <x:v>Getting Started</x:v>
      </x:c>
      <x:c r="D42" s="3" t="str">
        <x:v>https://raw.githubusercontent.com/Fission-AI/OpenSpec/main/docs/getting-started.md</x:v>
      </x:c>
      <x:c r="E42" s="3" t="str">
        <x:v>2026-10-12</x:v>
      </x:c>
      <x:c r="F42" s="3" t="str">
        <x:v>Ordinary setup, change artifacts, core versus expanded command selection and first implementation.</x:v>
      </x:c>
    </x:row>
    <x:row r="43" ht="49.5" customHeight="1">
      <x:c r="A43" s="3" t="str">
        <x:v>OP03</x:v>
      </x:c>
      <x:c r="B43" s="3" t="str">
        <x:v>OPENSPEC</x:v>
      </x:c>
      <x:c r="C43" s="3" t="str">
        <x:v>Concepts</x:v>
      </x:c>
      <x:c r="D43" s="3" t="str">
        <x:v>https://raw.githubusercontent.com/Fission-AI/OpenSpec/main/docs/concepts.md</x:v>
      </x:c>
      <x:c r="E43" s="3" t="str">
        <x:v>2026-10-12</x:v>
      </x:c>
      <x:c r="F43" s="3" t="str">
        <x:v>Behavior contracts, scenarios, current specs/proposed deltas, design/tasks and dependency schemas.</x:v>
      </x:c>
    </x:row>
    <x:row r="44" ht="49.5" customHeight="1">
      <x:c r="A44" s="3" t="str">
        <x:v>OP04</x:v>
      </x:c>
      <x:c r="B44" s="3" t="str">
        <x:v>OPENSPEC</x:v>
      </x:c>
      <x:c r="C44" s="3" t="str">
        <x:v>Workflows</x:v>
      </x:c>
      <x:c r="D44" s="3" t="str">
        <x:v>https://raw.githubusercontent.com/Fission-AI/OpenSpec/main/docs/workflows.md</x:v>
      </x:c>
      <x:c r="E44" s="3" t="str">
        <x:v>2026-10-12</x:v>
      </x:c>
      <x:c r="F44" s="3" t="str">
        <x:v>Multiple changes, checkpointed task resumption, optional verification dimensions and non-blocking archive warnings.</x:v>
      </x:c>
    </x:row>
    <x:row r="45" ht="49.5" customHeight="1">
      <x:c r="A45" s="3" t="str">
        <x:v>OP05</x:v>
      </x:c>
      <x:c r="B45" s="3" t="str">
        <x:v>OPENSPEC</x:v>
      </x:c>
      <x:c r="C45" s="3" t="str">
        <x:v>CLI Reference</x:v>
      </x:c>
      <x:c r="D45" s="3" t="str">
        <x:v>https://raw.githubusercontent.com/Fission-AI/OpenSpec/main/docs/cli.md</x:v>
      </x:c>
      <x:c r="E45" s="3" t="str">
        <x:v>2026-10-12</x:v>
      </x:c>
      <x:c r="F45" s="3" t="str">
        <x:v>Runtime status/validation/instructions and archive preconditions, destination claims, rollback and recovery.</x:v>
      </x:c>
    </x:row>
    <x:row r="46" ht="49.5" customHeight="1">
      <x:c r="A46" s="3" t="str">
        <x:v>OP06</x:v>
      </x:c>
      <x:c r="B46" s="3" t="str">
        <x:v>OPENSPEC</x:v>
      </x:c>
      <x:c r="C46" s="3" t="str">
        <x:v>Customization</x:v>
      </x:c>
      <x:c r="D46" s="3" t="str">
        <x:v>https://raw.githubusercontent.com/Fission-AI/OpenSpec/main/docs/customization.md</x:v>
      </x:c>
      <x:c r="E46" s="3" t="str">
        <x:v>2026-10-12</x:v>
      </x:c>
      <x:c r="F46" s="3" t="str">
        <x:v>Reusable schemas, per-artifact rules and current context; operation guidance is explicitly advisory.</x:v>
      </x:c>
    </x:row>
    <x:row r="47" ht="49.5" customHeight="1">
      <x:c r="A47" s="3" t="str">
        <x:v>OP07</x:v>
      </x:c>
      <x:c r="B47" s="3" t="str">
        <x:v>OPENSPEC</x:v>
      </x:c>
      <x:c r="C47" s="3" t="str">
        <x:v>Editing and Iterating on a Change</x:v>
      </x:c>
      <x:c r="D47" s="3" t="str">
        <x:v>https://raw.githubusercontent.com/Fission-AI/OpenSpec/main/docs/editing-changes.md</x:v>
      </x:c>
      <x:c r="E47" s="3" t="str">
        <x:v>2026-10-12</x:v>
      </x:c>
      <x:c r="F47" s="3" t="str">
        <x:v>Live artifact updates and spec/code reconciliation; no semantic support-invalidation mechanism established.</x:v>
      </x:c>
    </x:row>
    <x:row r="48" ht="49.5" customHeight="1">
      <x:c r="A48" s="3" t="str">
        <x:v>CODEX-S1</x:v>
      </x:c>
      <x:c r="B48" s="3" t="str">
        <x:v>CODEX</x:v>
      </x:c>
      <x:c r="C48" s="3" t="str">
        <x:v>Agent approvals &amp; security</x:v>
      </x:c>
      <x:c r="D48" s="3" t="str">
        <x:v>https://learn.chatgpt.com/docs/agent-approvals-security</x:v>
      </x:c>
      <x:c r="E48" s="3" t="str">
        <x:v>2026-10-12</x:v>
      </x:c>
      <x:c r="F48" s="3" t="str">
        <x:v>OS sandbox and approval controls; local, cloud and user-initiated execution have distinct boundaries.</x:v>
      </x:c>
    </x:row>
    <x:row r="49" ht="49.5" customHeight="1">
      <x:c r="A49" s="3" t="str">
        <x:v>CODEX-S2</x:v>
      </x:c>
      <x:c r="B49" s="3" t="str">
        <x:v>CODEX</x:v>
      </x:c>
      <x:c r="C49" s="3" t="str">
        <x:v>Build skills</x:v>
      </x:c>
      <x:c r="D49" s="3" t="str">
        <x:v>https://learn.chatgpt.com/docs/build-skills</x:v>
      </x:c>
      <x:c r="E49" s="3" t="str">
        <x:v>2026-10-12</x:v>
      </x:c>
      <x:c r="F49" s="3" t="str">
        <x:v>Native reusable skill format and progressive disclosure; does not establish semantic fidelity or full-context admission.</x:v>
      </x:c>
    </x:row>
    <x:row r="50" ht="49.5" customHeight="1">
      <x:c r="A50" s="3" t="str">
        <x:v>CODEX-S3</x:v>
      </x:c>
      <x:c r="B50" s="3" t="str">
        <x:v>CODEX</x:v>
      </x:c>
      <x:c r="C50" s="3" t="str">
        <x:v>Subagents</x:v>
      </x:c>
      <x:c r="D50" s="3" t="str">
        <x:v>https://learn.chatgpt.com/docs/agent-configuration/subagents</x:v>
      </x:c>
      <x:c r="E50" s="3" t="str">
        <x:v>2026-10-12</x:v>
      </x:c>
      <x:c r="F50" s="3" t="str">
        <x:v>Scoped delegation and collected results; local Codex policy distinguished from ChatGPT Work behavior.</x:v>
      </x:c>
    </x:row>
    <x:row r="51" ht="49.5" customHeight="1">
      <x:c r="A51" s="3" t="str">
        <x:v>CODEX-S4</x:v>
      </x:c>
      <x:c r="B51" s="3" t="str">
        <x:v>CODEX</x:v>
      </x:c>
      <x:c r="C51" s="3" t="str">
        <x:v>Codex App Server</x:v>
      </x:c>
      <x:c r="D51" s="3" t="str">
        <x:v>https://learn.chatgpt.com/docs/app-server</x:v>
      </x:c>
      <x:c r="E51" s="3" t="str">
        <x:v>2026-10-12</x:v>
      </x:c>
      <x:c r="F51" s="3" t="str">
        <x:v>Thread/turn identity, resume, approvals, events and usage; experimental surfaces and execution exceptions documented.</x:v>
      </x:c>
    </x:row>
    <x:row r="52" ht="49.5" customHeight="1">
      <x:c r="A52" s="3" t="str">
        <x:v>CODEX-S5</x:v>
      </x:c>
      <x:c r="B52" s="3" t="str">
        <x:v>CODEX</x:v>
      </x:c>
      <x:c r="C52" s="3" t="str">
        <x:v>Custom instructions with AGENTS.md</x:v>
      </x:c>
      <x:c r="D52" s="3" t="str">
        <x:v>https://learn.chatgpt.com/docs/agent-configuration/agents-md</x:v>
      </x:c>
      <x:c r="E52" s="3" t="str">
        <x:v>2026-10-12</x:v>
      </x:c>
      <x:c r="F52" s="3" t="str">
        <x:v>Layered source-file discovery and bounded loading; instructions are prompt guidance rather than enforced product qualification.</x:v>
      </x:c>
    </x:row>
    <x:row r="53" ht="49.5" customHeight="1">
      <x:c r="A53" s="3" t="str">
        <x:v>CODEX-S6</x:v>
      </x:c>
      <x:c r="B53" s="3" t="str">
        <x:v>CODEX</x:v>
      </x:c>
      <x:c r="C53" s="3" t="str">
        <x:v>Build iterative repair loops with Codex</x:v>
      </x:c>
      <x:c r="D53" s="3" t="str">
        <x:v>https://developers.openai.com/cookbook/examples/codex/build_iterative_repair_loops_with_codex</x:v>
      </x:c>
      <x:c r="E53" s="3" t="str">
        <x:v>2026-10-12</x:v>
      </x:c>
      <x:c r="F53" s="3" t="str">
        <x:v>Published bounded notebook repair recipe with distinct phases and records; guidance/example, not a general effectiveness experiment.</x:v>
      </x:c>
    </x:row>
    <x:row r="54" ht="49.5" customHeight="1">
      <x:c r="A54" s="3" t="str">
        <x:v>CLAUDE-S1</x:v>
      </x:c>
      <x:c r="B54" s="3" t="str">
        <x:v>CLAUDE</x:v>
      </x:c>
      <x:c r="C54" s="3" t="str">
        <x:v>Overview</x:v>
      </x:c>
      <x:c r="D54" s="3" t="str">
        <x:v>https://code.claude.com/docs/en/overview</x:v>
      </x:c>
      <x:c r="E54" s="3" t="str">
        <x:v>2026-10-12</x:v>
      </x:c>
      <x:c r="F54" s="3" t="str">
        <x:v>Supported coding surfaces, install and entry; broad product claims are not effectiveness measurements.</x:v>
      </x:c>
    </x:row>
    <x:row r="55" ht="49.5" customHeight="1">
      <x:c r="A55" s="3" t="str">
        <x:v>CLAUDE-S2</x:v>
      </x:c>
      <x:c r="B55" s="3" t="str">
        <x:v>CLAUDE</x:v>
      </x:c>
      <x:c r="C55" s="3" t="str">
        <x:v>Best practices for Claude Code</x:v>
      </x:c>
      <x:c r="D55" s="3" t="str">
        <x:v>https://code.claude.com/docs/en/best-practices</x:v>
      </x:c>
      <x:c r="E55" s="3" t="str">
        <x:v>2026-10-12</x:v>
      </x:c>
      <x:c r="F55" s="3" t="str">
        <x:v>Plan/implementation separation, explicit verification and fresh-context adversarial review; recommended practice rather than universal enforced method.</x:v>
      </x:c>
    </x:row>
    <x:row r="56" ht="49.5" customHeight="1">
      <x:c r="A56" s="3" t="str">
        <x:v>CLAUDE-S3</x:v>
      </x:c>
      <x:c r="B56" s="3" t="str">
        <x:v>CLAUDE</x:v>
      </x:c>
      <x:c r="C56" s="3" t="str">
        <x:v>Create custom subagents</x:v>
      </x:c>
      <x:c r="D56" s="3" t="str">
        <x:v>https://code.claude.com/docs/en/sub-agents</x:v>
      </x:c>
      <x:c r="E56" s="3" t="str">
        <x:v>2026-10-12</x:v>
      </x:c>
      <x:c r="F56" s="3" t="str">
        <x:v>Scoped tool/context delegation, inherited guidance and bounded execution; context defaults differ across built-in agent classes.</x:v>
      </x:c>
    </x:row>
    <x:row r="57" ht="49.5" customHeight="1">
      <x:c r="A57" s="3" t="str">
        <x:v>CLAUDE-S4</x:v>
      </x:c>
      <x:c r="B57" s="3" t="str">
        <x:v>CLAUDE</x:v>
      </x:c>
      <x:c r="C57" s="3" t="str">
        <x:v>Configure permissions</x:v>
      </x:c>
      <x:c r="D57" s="3" t="str">
        <x:v>https://code.claude.com/docs/en/permissions</x:v>
      </x:c>
      <x:c r="E57" s="3" t="str">
        <x:v>2026-10-12</x:v>
      </x:c>
      <x:c r="F57" s="3" t="str">
        <x:v>Runtime deny/ask/allow ordering and permission modes; pattern scopes and bypass behavior have documented limitations.</x:v>
      </x:c>
    </x:row>
    <x:row r="58" ht="49.5" customHeight="1">
      <x:c r="A58" s="3" t="str">
        <x:v>CLAUDE-S5</x:v>
      </x:c>
      <x:c r="B58" s="3" t="str">
        <x:v>CLAUDE</x:v>
      </x:c>
      <x:c r="C58" s="3" t="str">
        <x:v>Checkpointing</x:v>
      </x:c>
      <x:c r="D58" s="3" t="str">
        <x:v>https://code.claude.com/docs/en/checkpointing</x:v>
      </x:c>
      <x:c r="E58" s="3" t="str">
        <x:v>2026-10-12</x:v>
      </x:c>
      <x:c r="F58" s="3" t="str">
        <x:v>Durable direct-edit snapshots and conversation rewind; shell, external and most subagent edits are excluded.</x:v>
      </x:c>
    </x:row>
    <x:row r="59" ht="49.5" customHeight="1">
      <x:c r="A59" s="3" t="str">
        <x:v>CLAUDE-S6</x:v>
      </x:c>
      <x:c r="B59" s="3" t="str">
        <x:v>CLAUDE</x:v>
      </x:c>
      <x:c r="C59" s="3" t="str">
        <x:v>Monitoring</x:v>
      </x:c>
      <x:c r="D59" s="3" t="str">
        <x:v>https://code.claude.com/docs/en/monitoring-usage</x:v>
      </x:c>
      <x:c r="E59" s="3" t="str">
        <x:v>2026-10-12</x:v>
      </x:c>
      <x:c r="F59" s="3" t="str">
        <x:v>Token/cost/time counters and nested API/tool spans; opt-in detail and estimates are not a full semantic resource model.</x:v>
      </x:c>
    </x:row>
    <x:row r="60" ht="49.5" customHeight="1">
      <x:c r="A60" s="3" t="str">
        <x:v>CLAUDE-S7</x:v>
      </x:c>
      <x:c r="B60" s="3" t="str">
        <x:v>CLAUDE</x:v>
      </x:c>
      <x:c r="C60" s="3" t="str">
        <x:v>Security</x:v>
      </x:c>
      <x:c r="D60" s="3" t="str">
        <x:v>https://code.claude.com/docs/en/security</x:v>
      </x:c>
      <x:c r="E60" s="3" t="str">
        <x:v>2026-10-12</x:v>
      </x:c>
      <x:c r="F60" s="3" t="str">
        <x:v>Documents untrusted-content precautions, scoped network/filesystem isolation and credentials; interactive/headless and local/cloud controls differ, and no immunity is claimed.</x:v>
      </x:c>
    </x:row>
    <x:row r="61" ht="49.5" customHeight="1">
      <x:c r="A61" s="3" t="str">
        <x:v>GEMINI-S1</x:v>
      </x:c>
      <x:c r="B61" s="3" t="str">
        <x:v>GEMINI</x:v>
      </x:c>
      <x:c r="C61" s="3" t="str">
        <x:v>Plan Mode</x:v>
      </x:c>
      <x:c r="D61" s="3" t="str">
        <x:v>https://geminicli.com/docs/cli/plan-mode/</x:v>
      </x:c>
      <x:c r="E61" s="3" t="str">
        <x:v>2026-10-12</x:v>
      </x:c>
      <x:c r="F61" s="3" t="str">
        <x:v>Read-only research and reviewable Markdown plans before execution; policy customization and user approval govern scope.</x:v>
      </x:c>
    </x:row>
    <x:row r="62" ht="49.5" customHeight="1">
      <x:c r="A62" s="3" t="str">
        <x:v>GEMINI-S2</x:v>
      </x:c>
      <x:c r="B62" s="3" t="str">
        <x:v>GEMINI</x:v>
      </x:c>
      <x:c r="C62" s="3" t="str">
        <x:v>Subagents</x:v>
      </x:c>
      <x:c r="D62" s="3" t="str">
        <x:v>https://geminicli.com/docs/core/subagents/</x:v>
      </x:c>
      <x:c r="E62" s="3" t="str">
        <x:v>2026-10-12</x:v>
      </x:c>
      <x:c r="F62" s="3" t="str">
        <x:v>Separate context loops, scoped tools, parent results, turn/time limits and recursion protection; runtime bounds do not prove task sufficiency.</x:v>
      </x:c>
    </x:row>
    <x:row r="63" ht="49.5" customHeight="1">
      <x:c r="A63" s="3" t="str">
        <x:v>GEMINI-S3</x:v>
      </x:c>
      <x:c r="B63" s="3" t="str">
        <x:v>GEMINI</x:v>
      </x:c>
      <x:c r="C63" s="3" t="str">
        <x:v>Policy engine</x:v>
      </x:c>
      <x:c r="D63" s="3" t="str">
        <x:v>https://geminicli.com/docs/reference/policy-engine/</x:v>
      </x:c>
      <x:c r="E63" s="3" t="str">
        <x:v>2026-10-12</x:v>
      </x:c>
      <x:c r="F63" s="3" t="str">
        <x:v>Pre-tool allow/deny/ask decisions, priority tiers and subagent selectors; workspace policy tier currently disabled.</x:v>
      </x:c>
    </x:row>
    <x:row r="64" ht="49.5" customHeight="1">
      <x:c r="A64" s="3" t="str">
        <x:v>GEMINI-S4</x:v>
      </x:c>
      <x:c r="B64" s="3" t="str">
        <x:v>GEMINI</x:v>
      </x:c>
      <x:c r="C64" s="3" t="str">
        <x:v>Checkpointing</x:v>
      </x:c>
      <x:c r="D64" s="3" t="str">
        <x:v>https://geminicli.com/docs/cli/checkpointing/</x:v>
      </x:c>
      <x:c r="E64" s="3" t="str">
        <x:v>2026-10-12</x:v>
      </x:c>
      <x:c r="F64" s="3" t="str">
        <x:v>Opt-in file/conversation/tool snapshots; restore re-proposes the original tool call, without generic external-effect reconciliation.</x:v>
      </x:c>
    </x:row>
    <x:row r="65" ht="49.5" customHeight="1">
      <x:c r="A65" s="3" t="str">
        <x:v>GEMINI-S5</x:v>
      </x:c>
      <x:c r="B65" s="3" t="str">
        <x:v>GEMINI</x:v>
      </x:c>
      <x:c r="C65" s="3" t="str">
        <x:v>Observability with OpenTelemetry</x:v>
      </x:c>
      <x:c r="D65" s="3" t="str">
        <x:v>https://geminicli.com/docs/cli/telemetry/</x:v>
      </x:c>
      <x:c r="E65" s="3" t="str">
        <x:v>2026-10-12</x:v>
      </x:c>
      <x:c r="F65" s="3" t="str">
        <x:v>Token classes, API/tool durations, traces and compression events; opt-in monitoring does not establish complete required-context accounting.</x:v>
      </x:c>
    </x:row>
    <x:row r="66" ht="49.5" customHeight="1">
      <x:c r="A66" s="3" t="str">
        <x:v>GEMINI-S6</x:v>
      </x:c>
      <x:c r="B66" s="3" t="str">
        <x:v>GEMINI</x:v>
      </x:c>
      <x:c r="C66" s="3" t="str">
        <x:v>Managing Agent Skills</x:v>
      </x:c>
      <x:c r="D66" s="3" t="str">
        <x:v>https://geminicli.com/docs/cli/using-agent-skills/</x:v>
      </x:c>
      <x:c r="E66" s="3" t="str">
        <x:v>2026-10-12</x:v>
      </x:c>
      <x:c r="F66" s="3" t="str">
        <x:v>Discoverable reusable source directories and consent; standard skill artifacts do not establish semantic method fidelity.</x:v>
      </x:c>
    </x:row>
    <x:row r="67" ht="49.5" customHeight="1">
      <x:c r="A67" s="3" t="str">
        <x:v>QW01</x:v>
      </x:c>
      <x:c r="B67" s="3" t="str">
        <x:v>QWEN</x:v>
      </x:c>
      <x:c r="C67" s="3" t="str">
        <x:v>Qwen Code README and Evaluation</x:v>
      </x:c>
      <x:c r="D67" s="3" t="str">
        <x:v>https://github.com/QwenLM/qwen-code</x:v>
      </x:c>
      <x:c r="E67" s="3" t="str">
        <x:v>2026-10-12</x:v>
      </x:c>
      <x:c r="F67" s="3" t="str">
        <x:v>CLI purpose, ordinary setup, Apache-2.0 license, self-use and fixed-model SWE-bench runs across named CLI versions.</x:v>
      </x:c>
    </x:row>
    <x:row r="68" ht="49.5" customHeight="1">
      <x:c r="A68" s="3" t="str">
        <x:v>QW02</x:v>
      </x:c>
      <x:c r="B68" s="3" t="str">
        <x:v>QWEN</x:v>
      </x:c>
      <x:c r="C68" s="3" t="str">
        <x:v>Approval Mode</x:v>
      </x:c>
      <x:c r="D68" s="3" t="str">
        <x:v>https://qwenlm.github.io/qwen-code-docs/en/users/features/approval-mode/</x:v>
      </x:c>
      <x:c r="E68" s="3" t="str">
        <x:v>2026-10-12</x:v>
      </x:c>
      <x:c r="F68" s="3" t="str">
        <x:v>Mode-specific pre-effect controls, deny rules, fail-closed classifier and manual fallback; default statements conflict.</x:v>
      </x:c>
    </x:row>
    <x:row r="69" ht="49.5" customHeight="1">
      <x:c r="A69" s="3" t="str">
        <x:v>QW03</x:v>
      </x:c>
      <x:c r="B69" s="3" t="str">
        <x:v>QWEN</x:v>
      </x:c>
      <x:c r="C69" s="3" t="str">
        <x:v>Subagents</x:v>
      </x:c>
      <x:c r="D69" s="3" t="str">
        <x:v>https://qwenlm.github.io/qwen-code-docs/en/users/features/sub-agents/</x:v>
      </x:c>
      <x:c r="E69" s="3" t="str">
        <x:v>2026-10-12</x:v>
      </x:c>
      <x:c r="F69" s="3" t="str">
        <x:v>Fresh versus forked contexts, tool restrictions, parent continuation and shared-workspace limitations.</x:v>
      </x:c>
    </x:row>
    <x:row r="70" ht="49.5" customHeight="1">
      <x:c r="A70" s="3" t="str">
        <x:v>QW04</x:v>
      </x:c>
      <x:c r="B70" s="3" t="str">
        <x:v>QWEN</x:v>
      </x:c>
      <x:c r="C70" s="3" t="str">
        <x:v>Resident Context Cost</x:v>
      </x:c>
      <x:c r="D70" s="3" t="str">
        <x:v>https://qwenlm.github.io/qwen-code-docs/en/users/features/context-cost/</x:v>
      </x:c>
      <x:c r="E70" s="3" t="str">
        <x:v>2026-10-12</x:v>
      </x:c>
      <x:c r="F70" s="3" t="str">
        <x:v>Actual prefix breakdown with residual, deferred tools and explicit cache/context distinctions.</x:v>
      </x:c>
    </x:row>
    <x:row r="71" ht="49.5" customHeight="1">
      <x:c r="A71" s="3" t="str">
        <x:v>QW05</x:v>
      </x:c>
      <x:c r="B71" s="3" t="str">
        <x:v>QWEN</x:v>
      </x:c>
      <x:c r="C71" s="3" t="str">
        <x:v>Conversations writer locks and recovery</x:v>
      </x:c>
      <x:c r="D71" s="3" t="str">
        <x:v>https://qwenlm.github.io/qwen-code-docs/en/users/conversations-recovery/</x:v>
      </x:c>
      <x:c r="E71" s="3" t="str">
        <x:v>2026-10-12</x:v>
      </x:c>
      <x:c r="F71" s="3" t="str">
        <x:v>Identity-bound writer leases, transcript-proof handoffs, fail-closed unknown ownership and operator fencing.</x:v>
      </x:c>
    </x:row>
    <x:row r="72" ht="49.5" customHeight="1">
      <x:c r="A72" s="3" t="str">
        <x:v>QW06</x:v>
      </x:c>
      <x:c r="B72" s="3" t="str">
        <x:v>QWEN</x:v>
      </x:c>
      <x:c r="C72" s="3" t="str">
        <x:v>Agent Skills</x:v>
      </x:c>
      <x:c r="D72" s="3" t="str">
        <x:v>https://qwenlm.github.io/qwen-code-docs/en/users/features/skills/</x:v>
      </x:c>
      <x:c r="E72" s="3" t="str">
        <x:v>2026-10-12</x:v>
      </x:c>
      <x:c r="F72" s="3" t="str">
        <x:v>Source-derived reusable skills, supporting files, explicit invocation, progressive disclosure and path gating.</x:v>
      </x:c>
    </x:row>
    <x:row r="73" ht="49.5" customHeight="1">
      <x:c r="A73" s="3" t="str">
        <x:v>QW07</x:v>
      </x:c>
      <x:c r="B73" s="3" t="str">
        <x:v>QWEN</x:v>
      </x:c>
      <x:c r="C73" s="3" t="str">
        <x:v>Code Review</x:v>
      </x:c>
      <x:c r="D73" s="3" t="str">
        <x:v>https://qwenlm.github.io/qwen-code-docs/en/users/features/code-review/</x:v>
      </x:c>
      <x:c r="E73" s="3" t="str">
        <x:v>2026-10-12</x:v>
      </x:c>
      <x:c r="F73" s="3" t="str">
        <x:v>Scoped findings/verdict pipeline, exact PR resumption checks, independent passes, deadlines, CI distinctions and instruction execution.</x:v>
      </x:c>
    </x:row>
    <x:row r="74" ht="49.5" customHeight="1">
      <x:c r="A74" s="3" t="str">
        <x:v>QW08</x:v>
      </x:c>
      <x:c r="B74" s="3" t="str">
        <x:v>QWEN</x:v>
      </x:c>
      <x:c r="C74" s="3" t="str">
        <x:v>Goals</x:v>
      </x:c>
      <x:c r="D74" s="3" t="str">
        <x:v>https://qwenlm.github.io/qwen-code-docs/en/users/features/goals/</x:v>
      </x:c>
      <x:c r="E74" s="3" t="str">
        <x:v>2026-10-12</x:v>
      </x:c>
      <x:c r="F74" s="3" t="str">
        <x:v>Owner objectives, evidence-only verifier, unknown/stop handling, bounded transcript scope and explicitly incomplete usage meters.</x:v>
      </x:c>
    </x:row>
    <x:row r="75" ht="49.5" customHeight="1">
      <x:c r="A75" s="3" t="str">
        <x:v>QW09</x:v>
      </x:c>
      <x:c r="B75" s="3" t="str">
        <x:v>QWEN</x:v>
      </x:c>
      <x:c r="C75" s="3" t="str">
        <x:v>Sandbox</x:v>
      </x:c>
      <x:c r="D75" s="3" t="str">
        <x:v>https://qwenlm.github.io/qwen-code-docs/en/users/features/sandbox/</x:v>
      </x:c>
      <x:c r="E75" s="3" t="str">
        <x:v>2026-10-12</x:v>
      </x:c>
      <x:c r="F75" s="3" t="str">
        <x:v>Rolling docs: optional operator-owned Linux file/network confinement, explicit host/descriptor/integration exclusions and cancellation behavior; many extension paths are disabled.</x:v>
      </x:c>
    </x:row>
    <x:row r="76" ht="49.5" customHeight="1">
      <x:c r="A76" s="3" t="str">
        <x:v>OASDK-S1</x:v>
      </x:c>
      <x:c r="B76" s="3" t="str">
        <x:v>OASDK</x:v>
      </x:c>
      <x:c r="C76" s="3" t="str">
        <x:v>Agents SDK</x:v>
      </x:c>
      <x:c r="D76" s="3" t="str">
        <x:v>https://developers.openai.com/api/docs/guides/agents/sdk</x:v>
      </x:c>
      <x:c r="E76" s="3" t="str">
        <x:v>2026-10-12</x:v>
      </x:c>
      <x:c r="F76" s="3" t="str">
        <x:v>SDK/application ownership explicitly separated from managed harness; repositories linked, runtime not installed.</x:v>
      </x:c>
    </x:row>
    <x:row r="77" ht="49.5" customHeight="1">
      <x:c r="A77" s="3" t="str">
        <x:v>OASDK-S2</x:v>
      </x:c>
      <x:c r="B77" s="3" t="str">
        <x:v>OASDK</x:v>
      </x:c>
      <x:c r="C77" s="3" t="str">
        <x:v>Running agents</x:v>
      </x:c>
      <x:c r="D77" s="3" t="str">
        <x:v>https://developers.openai.com/api/docs/guides/agents/running-agents</x:v>
      </x:c>
      <x:c r="E77" s="3" t="str">
        <x:v>2026-10-12</x:v>
      </x:c>
      <x:c r="F77" s="3" t="str">
        <x:v>Run loop, state strategies, streaming, limits and interrupted-turn continuity; conversation replay is not external-effect replay.</x:v>
      </x:c>
    </x:row>
    <x:row r="78" ht="49.5" customHeight="1">
      <x:c r="A78" s="3" t="str">
        <x:v>OASDK-S3</x:v>
      </x:c>
      <x:c r="B78" s="3" t="str">
        <x:v>OASDK</x:v>
      </x:c>
      <x:c r="C78" s="3" t="str">
        <x:v>Orchestration and handoffs</x:v>
      </x:c>
      <x:c r="D78" s="3" t="str">
        <x:v>https://developers.openai.com/api/docs/guides/agents/orchestration</x:v>
      </x:c>
      <x:c r="E78" s="3" t="str">
        <x:v>2026-10-12</x:v>
      </x:c>
      <x:c r="F78" s="3" t="str">
        <x:v>Specialist ownership versus manager-owned agents-as-tools; history filtering and structured handoffs are language dependent.</x:v>
      </x:c>
    </x:row>
    <x:row r="79" ht="49.5" customHeight="1">
      <x:c r="A79" s="3" t="str">
        <x:v>OASDK-S4</x:v>
      </x:c>
      <x:c r="B79" s="3" t="str">
        <x:v>OASDK</x:v>
      </x:c>
      <x:c r="C79" s="3" t="str">
        <x:v>Guardrails and human review</x:v>
      </x:c>
      <x:c r="D79" s="3" t="str">
        <x:v>https://developers.openai.com/api/docs/guides/agents/guardrails-approvals</x:v>
      </x:c>
      <x:c r="E79" s="3" t="str">
        <x:v>2026-10-12</x:v>
      </x:c>
      <x:c r="F79" s="3" t="str">
        <x:v>Blocking guards and tool approval pause; parallel input checks can allow speculative agent work before rejection.</x:v>
      </x:c>
    </x:row>
    <x:row r="80" ht="49.5" customHeight="1">
      <x:c r="A80" s="3" t="str">
        <x:v>OASDK-S5</x:v>
      </x:c>
      <x:c r="B80" s="3" t="str">
        <x:v>OASDK</x:v>
      </x:c>
      <x:c r="C80" s="3" t="str">
        <x:v>Results and state</x:v>
      </x:c>
      <x:c r="D80" s="3" t="str">
        <x:v>https://developers.openai.com/api/docs/guides/agents/results</x:v>
      </x:c>
      <x:c r="E80" s="3" t="str">
        <x:v>2026-10-12</x:v>
      </x:c>
      <x:c r="F80" s="3" t="str">
        <x:v>Output, history, specialist identity, interruptions and serialized snapshots; caller owns subject validity and storage interpretation.</x:v>
      </x:c>
    </x:row>
    <x:row r="81" ht="49.5" customHeight="1">
      <x:c r="A81" s="3" t="str">
        <x:v>OASDK-S6</x:v>
      </x:c>
      <x:c r="B81" s="3" t="str">
        <x:v>OASDK</x:v>
      </x:c>
      <x:c r="C81" s="3" t="str">
        <x:v>Evaluate agent workflows</x:v>
      </x:c>
      <x:c r="D81" s="3" t="str">
        <x:v>https://developers.openai.com/api/docs/guides/agent-evals</x:v>
      </x:c>
      <x:c r="E81" s="3" t="str">
        <x:v>2026-10-12</x:v>
      </x:c>
      <x:c r="F81" s="3" t="str">
        <x:v>SDK traces connect to graders, datasets and repeated evals; platform integration capability, not measured effectiveness.</x:v>
      </x:c>
    </x:row>
    <x:row r="82" ht="49.5" customHeight="1">
      <x:c r="A82" s="3" t="str">
        <x:v>OASDK-REF-EVAL</x:v>
      </x:c>
      <x:c r="B82" s="3" t="str">
        <x:v>OASDK</x:v>
      </x:c>
      <x:c r="C82" s="3" t="str">
        <x:v>Working with evals</x:v>
      </x:c>
      <x:c r="D82" s="3" t="str">
        <x:v>https://developers.openai.com/api/docs/guides/evals</x:v>
      </x:c>
      <x:c r="E82" s="3" t="str">
        <x:v>2026-10-12</x:v>
      </x:c>
      <x:c r="F82" s="3" t="str">
        <x:v>Composed Evals API distinguishes generated sample output from human-labelled reference; deprecated platform, not native SDK-only support.</x:v>
      </x:c>
    </x:row>
    <x:row r="83" ht="49.5" customHeight="1">
      <x:c r="A83" s="3" t="str">
        <x:v>OASDK-EVAL-LIFECYCLE</x:v>
      </x:c>
      <x:c r="B83" s="3" t="str">
        <x:v>OASDK</x:v>
      </x:c>
      <x:c r="C83" s="3" t="str">
        <x:v>Official OpenAI deprecations — Evals platform</x:v>
      </x:c>
      <x:c r="D83" s="3" t="str">
        <x:v>https://developers.openai.com/api/docs/deprecations</x:v>
      </x:c>
      <x:c r="E83" s="3" t="str">
        <x:v>2026-10-12</x:v>
      </x:c>
      <x:c r="F83" s="3" t="str">
        <x:v>Evals becomes read-only 2026-10-31; dashboard/API shutdown scheduled 2026-11-30. This does not deprecate Agents SDK.</x:v>
      </x:c>
    </x:row>
    <x:row r="84" ht="49.5" customHeight="1">
      <x:c r="A84" s="3" t="str">
        <x:v>CASDK-S1</x:v>
      </x:c>
      <x:c r="B84" s="3" t="str">
        <x:v>CASDK</x:v>
      </x:c>
      <x:c r="C84" s="3" t="str">
        <x:v>Agent SDK overview</x:v>
      </x:c>
      <x:c r="D84" s="3" t="str">
        <x:v>https://code.claude.com/docs/en/agent-sdk/overview</x:v>
      </x:c>
      <x:c r="E84" s="3" t="str">
        <x:v>2026-10-12</x:v>
      </x:c>
      <x:c r="F84" s="3" t="str">
        <x:v>Explicit SDK/CLI/Client SDK/Managed Agents separation; current default project/user feature loading differs from older cookbook guidance.</x:v>
      </x:c>
    </x:row>
    <x:row r="85" ht="49.5" customHeight="1">
      <x:c r="A85" s="3" t="str">
        <x:v>CASDK-S2</x:v>
      </x:c>
      <x:c r="B85" s="3" t="str">
        <x:v>CASDK</x:v>
      </x:c>
      <x:c r="C85" s="3" t="str">
        <x:v>Configure permissions</x:v>
      </x:c>
      <x:c r="D85" s="3" t="str">
        <x:v>https://code.claude.com/docs/en/agent-sdk/permissions</x:v>
      </x:c>
      <x:c r="E85" s="3" t="str">
        <x:v>2026-10-12</x:v>
      </x:c>
      <x:c r="F85" s="3" t="str">
        <x:v>Hooks, deny/ask/mode/allow decisions and canUseTool; allowed-tools lists are approval rules, not universal bypass-mode confinement.</x:v>
      </x:c>
    </x:row>
    <x:row r="86" ht="49.5" customHeight="1">
      <x:c r="A86" s="3" t="str">
        <x:v>CASDK-S3</x:v>
      </x:c>
      <x:c r="B86" s="3" t="str">
        <x:v>CASDK</x:v>
      </x:c>
      <x:c r="C86" s="3" t="str">
        <x:v>Work with sessions</x:v>
      </x:c>
      <x:c r="D86" s="3" t="str">
        <x:v>https://code.claude.com/docs/en/agent-sdk/sessions</x:v>
      </x:c>
      <x:c r="E86" s="3" t="str">
        <x:v>2026-10-12</x:v>
      </x:c>
      <x:c r="F86" s="3" t="str">
        <x:v>Continue/resume/fork and cross-host transcript stores; history forks do not isolate or revert filesystem effects.</x:v>
      </x:c>
    </x:row>
    <x:row r="87" ht="49.5" customHeight="1">
      <x:c r="A87" s="3" t="str">
        <x:v>CASDK-S4</x:v>
      </x:c>
      <x:c r="B87" s="3" t="str">
        <x:v>CASDK</x:v>
      </x:c>
      <x:c r="C87" s="3" t="str">
        <x:v>Subagents in the SDK</x:v>
      </x:c>
      <x:c r="D87" s="3" t="str">
        <x:v>https://code.claude.com/docs/en/agent-sdk/subagents</x:v>
      </x:c>
      <x:c r="E87" s="3" t="str">
        <x:v>2026-10-12</x:v>
      </x:c>
      <x:c r="F87" s="3" t="str">
        <x:v>Programmatic scoped delegation and inherited context, limits and parent return; some orchestration features are TypeScript specific.</x:v>
      </x:c>
    </x:row>
    <x:row r="88" ht="49.5" customHeight="1">
      <x:c r="A88" s="3" t="str">
        <x:v>CASDK-S5</x:v>
      </x:c>
      <x:c r="B88" s="3" t="str">
        <x:v>CASDK</x:v>
      </x:c>
      <x:c r="C88" s="3" t="str">
        <x:v>Intercept and control agent behavior with hooks</x:v>
      </x:c>
      <x:c r="D88" s="3" t="str">
        <x:v>https://code.claude.com/docs/en/agent-sdk/hooks</x:v>
      </x:c>
      <x:c r="E88" s="3" t="str">
        <x:v>2026-10-12</x:v>
      </x:c>
      <x:c r="F88" s="3" t="str">
        <x:v>Pre/post tool and lifecycle callbacks; parallel pre-hooks use most restrictive denial, without ordered hook dependence.</x:v>
      </x:c>
    </x:row>
    <x:row r="89" ht="49.5" customHeight="1">
      <x:c r="A89" s="3" t="str">
        <x:v>CASDK-S6</x:v>
      </x:c>
      <x:c r="B89" s="3" t="str">
        <x:v>CASDK</x:v>
      </x:c>
      <x:c r="C89" s="3" t="str">
        <x:v>Track cost and usage</x:v>
      </x:c>
      <x:c r="D89" s="3" t="str">
        <x:v>https://code.claude.com/docs/en/agent-sdk/cost-tracking</x:v>
      </x:c>
      <x:c r="E89" s="3" t="str">
        <x:v>2026-10-12</x:v>
      </x:c>
      <x:c r="F89" s="3" t="str">
        <x:v>Parent usage versus whole-tree model totals, resumed cumulative spend and output placeholders; USD is an estimate and crash recovery incomplete.</x:v>
      </x:c>
    </x:row>
    <x:row r="90" ht="49.5" customHeight="1">
      <x:c r="A90" s="3" t="str">
        <x:v>ADK-S1</x:v>
      </x:c>
      <x:c r="B90" s="3" t="str">
        <x:v>ADK</x:v>
      </x:c>
      <x:c r="C90" s="3" t="str">
        <x:v>Agent Development Kit (ADK)</x:v>
      </x:c>
      <x:c r="D90" s="3" t="str">
        <x:v>https://adk.dev/</x:v>
      </x:c>
      <x:c r="E90" s="3" t="str">
        <x:v>2026-10-12</x:v>
      </x:c>
      <x:c r="F90" s="3" t="str">
        <x:v>Framework scope, open-source description and language entry paths; enterprise-scale positioning is not measured effectiveness.</x:v>
      </x:c>
    </x:row>
    <x:row r="91" ht="49.5" customHeight="1">
      <x:c r="A91" s="3" t="str">
        <x:v>ADK-S2</x:v>
      </x:c>
      <x:c r="B91" s="3" t="str">
        <x:v>ADK</x:v>
      </x:c>
      <x:c r="C91" s="3" t="str">
        <x:v>Build collaborative agent teams</x:v>
      </x:c>
      <x:c r="D91" s="3" t="str">
        <x:v>https://adk.dev/workflows/collaboration/</x:v>
      </x:c>
      <x:c r="E91" s="3" t="str">
        <x:v>2026-10-12</x:v>
      </x:c>
      <x:c r="F91" s="3" t="str">
        <x:v>Parent-owned delegation, isolated branches and collected results; language/version mode restrictions and known limitations apply.</x:v>
      </x:c>
    </x:row>
    <x:row r="92" ht="49.5" customHeight="1">
      <x:c r="A92" s="3" t="str">
        <x:v>ADK-S3</x:v>
      </x:c>
      <x:c r="B92" s="3" t="str">
        <x:v>ADK</x:v>
      </x:c>
      <x:c r="C92" s="3" t="str">
        <x:v>Resume stopped agents</x:v>
      </x:c>
      <x:c r="D92" s="3" t="str">
        <x:v>https://adk.dev/runtime/resume/</x:v>
      </x:c>
      <x:c r="E92" s="3" t="str">
        <x:v>2026-10-12</x:v>
      </x:c>
      <x:c r="F92" s="3" t="str">
        <x:v>Event-derived workflow completion resumption; tool execution is at least once and changed stopped workflows must not resume.</x:v>
      </x:c>
    </x:row>
    <x:row r="93" ht="49.5" customHeight="1">
      <x:c r="A93" s="3" t="str">
        <x:v>ADK-S4</x:v>
      </x:c>
      <x:c r="B93" s="3" t="str">
        <x:v>ADK</x:v>
      </x:c>
      <x:c r="C93" s="3" t="str">
        <x:v>Types of callbacks</x:v>
      </x:c>
      <x:c r="D93" s="3" t="str">
        <x:v>https://adk.dev/callbacks/types-of-callbacks/</x:v>
      </x:c>
      <x:c r="E93" s="3" t="str">
        <x:v>2026-10-12</x:v>
      </x:c>
      <x:c r="F93" s="3" t="str">
        <x:v>Pre-agent/model/tool interception and error callbacks; exact return semantics and hook availability differ by language and agent class.</x:v>
      </x:c>
    </x:row>
    <x:row r="94" ht="49.5" customHeight="1">
      <x:c r="A94" s="3" t="str">
        <x:v>ADK-S5</x:v>
      </x:c>
      <x:c r="B94" s="3" t="str">
        <x:v>ADK</x:v>
      </x:c>
      <x:c r="C94" s="3" t="str">
        <x:v>Why evaluate agents</x:v>
      </x:c>
      <x:c r="D94" s="3" t="str">
        <x:v>https://adk.dev/evaluate/</x:v>
      </x:c>
      <x:c r="E94" s="3" t="str">
        <x:v>2026-10-12</x:v>
      </x:c>
      <x:c r="F94" s="3" t="str">
        <x:v>Expected trajectories/reference responses, repeatable evals, regression and efficiency metrics; evaluation availability principally Python, some metrics require external service.</x:v>
      </x:c>
    </x:row>
    <x:row r="95" ht="49.5" customHeight="1">
      <x:c r="A95" s="3" t="str">
        <x:v>ADK-S6</x:v>
      </x:c>
      <x:c r="B95" s="3" t="str">
        <x:v>ADK</x:v>
      </x:c>
      <x:c r="C95" s="3" t="str">
        <x:v>Skills for ADK agents</x:v>
      </x:c>
      <x:c r="D95" s="3" t="str">
        <x:v>https://adk.dev/skills/</x:v>
      </x:c>
      <x:c r="E95" s="3" t="str">
        <x:v>2026-10-12</x:v>
      </x:c>
      <x:c r="F95" s="3" t="str">
        <x:v>Progressive standard skill loading, source-file resources and validation; explicitly experimental with language-specific path/API support.</x:v>
      </x:c>
    </x:row>
    <x:row r="96" ht="49.5" customHeight="1">
      <x:c r="A96" s="3" t="str">
        <x:v>ADK-S7</x:v>
      </x:c>
      <x:c r="B96" s="3" t="str">
        <x:v>ADK</x:v>
      </x:c>
      <x:c r="C96" s="3" t="str">
        <x:v>Runtime Config</x:v>
      </x:c>
      <x:c r="D96" s="3" t="str">
        <x:v>https://adk.dev/runtime/runconfig/</x:v>
      </x:c>
      <x:c r="E96" s="3" t="str">
        <x:v>2026-10-12</x:v>
      </x:c>
      <x:c r="F96" s="3" t="str">
        <x:v>Documents configured per-run LLM-call limits and language-scoped execution options; does not establish universal spend/token/runtime ceilings or cancellation semantics.</x:v>
      </x:c>
    </x:row>
    <x:row r="97" ht="49.5" customHeight="1">
      <x:c r="A97" s="3" t="str">
        <x:v>OH01</x:v>
      </x:c>
      <x:c r="B97" s="3" t="str">
        <x:v>OPENHANDS</x:v>
      </x:c>
      <x:c r="C97" s="3" t="str">
        <x:v>Software Agent SDK README</x:v>
      </x:c>
      <x:c r="D97" s="3" t="str">
        <x:v>https://github.com/OpenHands/software-agent-sdk</x:v>
      </x:c>
      <x:c r="E97" s="3" t="str">
        <x:v>2026-10-12</x:v>
      </x:c>
      <x:c r="F97" s="3" t="str">
        <x:v>Selected framework purpose, native components, first use, repository boundaries and MIT license.</x:v>
      </x:c>
    </x:row>
    <x:row r="98" ht="49.5" customHeight="1">
      <x:c r="A98" s="3" t="str">
        <x:v>OH02</x:v>
      </x:c>
      <x:c r="B98" s="3" t="str">
        <x:v>OPENHANDS</x:v>
      </x:c>
      <x:c r="C98" s="3" t="str">
        <x:v>SDK Architecture Overview</x:v>
      </x:c>
      <x:c r="D98" s="3" t="str">
        <x:v>https://docs.openhands.dev/sdk/arch/overview</x:v>
      </x:c>
      <x:c r="E98" s="3" t="str">
        <x:v>2026-10-12</x:v>
      </x:c>
      <x:c r="F98" s="3" t="str">
        <x:v>Agent/conversation/action-observation/workspace separation; optional sandbox/server package boundaries.</x:v>
      </x:c>
    </x:row>
    <x:row r="99" ht="49.5" customHeight="1">
      <x:c r="A99" s="3" t="str">
        <x:v>OH03</x:v>
      </x:c>
      <x:c r="B99" s="3" t="str">
        <x:v>OPENHANDS</x:v>
      </x:c>
      <x:c r="C99" s="3" t="str">
        <x:v>Security and Action Confirmation</x:v>
      </x:c>
      <x:c r="D99" s="3" t="str">
        <x:v>https://docs.openhands.dev/sdk/guides/security</x:v>
      </x:c>
      <x:c r="E99" s="3" t="str">
        <x:v>2026-10-12</x:v>
      </x:c>
      <x:c r="F99" s="3" t="str">
        <x:v>Pre-action analyzers, UNKNOWN handling, confirmation/rejection and direct execute_tool bypass.</x:v>
      </x:c>
    </x:row>
    <x:row r="100" ht="49.5" customHeight="1">
      <x:c r="A100" s="3" t="str">
        <x:v>OH04</x:v>
      </x:c>
      <x:c r="B100" s="3" t="str">
        <x:v>OPENHANDS</x:v>
      </x:c>
      <x:c r="C100" s="3" t="str">
        <x:v>Persistence</x:v>
      </x:c>
      <x:c r="D100" s="3" t="str">
        <x:v>https://docs.openhands.dev/sdk/guides/convo-persistence</x:v>
      </x:c>
      <x:c r="E100" s="3" t="str">
        <x:v>2026-10-12</x:v>
      </x:c>
      <x:c r="F100" s="3" t="str">
        <x:v>Persisted events, agent configuration/state, atomic base-state writes and multi-session restoration.</x:v>
      </x:c>
    </x:row>
    <x:row r="101" ht="49.5" customHeight="1">
      <x:c r="A101" s="3" t="str">
        <x:v>OH05</x:v>
      </x:c>
      <x:c r="B101" s="3" t="str">
        <x:v>OPENHANDS</x:v>
      </x:c>
      <x:c r="C101" s="3" t="str">
        <x:v>Task Tool Set</x:v>
      </x:c>
      <x:c r="D101" s="3" t="str">
        <x:v>https://docs.openhands.dev/sdk/guides/task-tool-set</x:v>
      </x:c>
      <x:c r="E101" s="3" t="str">
        <x:v>2026-10-12</x:v>
      </x:c>
      <x:c r="F101" s="3" t="str">
        <x:v>Native subordinate tasks, persisted task identities, completion/error results and synchronous joins.</x:v>
      </x:c>
    </x:row>
    <x:row r="102" ht="49.5" customHeight="1">
      <x:c r="A102" s="3" t="str">
        <x:v>OH06</x:v>
      </x:c>
      <x:c r="B102" s="3" t="str">
        <x:v>OPENHANDS</x:v>
      </x:c>
      <x:c r="C102" s="3" t="str">
        <x:v>Context Condenser</x:v>
      </x:c>
      <x:c r="D102" s="3" t="str">
        <x:v>https://docs.openhands.dev/sdk/guides/context-condenser</x:v>
      </x:c>
      <x:c r="E102" s="3" t="str">
        <x:v>2026-10-12</x:v>
      </x:c>
      <x:c r="F102" s="3" t="str">
        <x:v>Configured event-history thresholds and generated summaries; not proof of required-context capacity.</x:v>
      </x:c>
    </x:row>
    <x:row r="103" ht="49.5" customHeight="1">
      <x:c r="A103" s="3" t="str">
        <x:v>OH07</x:v>
      </x:c>
      <x:c r="B103" s="3" t="str">
        <x:v>OPENHANDS</x:v>
      </x:c>
      <x:c r="C103" s="3" t="str">
        <x:v>Metrics Tracking</x:v>
      </x:c>
      <x:c r="D103" s="3" t="str">
        <x:v>https://docs.openhands.dev/sdk/guides/metrics</x:v>
      </x:c>
      <x:c r="E103" s="3" t="str">
        <x:v>2026-10-12</x:v>
      </x:c>
      <x:c r="F103" s="3" t="str">
        <x:v>Prompt/completion/cache/reasoning token metrics, accumulated cost and per-call latency.</x:v>
      </x:c>
    </x:row>
    <x:row r="104" ht="49.5" customHeight="1">
      <x:c r="A104" s="3" t="str">
        <x:v>OH08</x:v>
      </x:c>
      <x:c r="B104" s="3" t="str">
        <x:v>OPENHANDS</x:v>
      </x:c>
      <x:c r="C104" s="3" t="str">
        <x:v>Agent Skills and Context</x:v>
      </x:c>
      <x:c r="D104" s="3" t="str">
        <x:v>https://docs.openhands.dev/sdk/guides/skill</x:v>
      </x:c>
      <x:c r="E104" s="3" t="str">
        <x:v>2026-10-12</x:v>
      </x:c>
      <x:c r="F104" s="3" t="str">
        <x:v>Source-located skills, progressive disclosure and deterministic path rules with local/ACP boundaries.</x:v>
      </x:c>
    </x:row>
    <x:row r="105" ht="49.5" customHeight="1">
      <x:c r="A105" s="3" t="str">
        <x:v>OH09</x:v>
      </x:c>
      <x:c r="B105" s="3" t="str">
        <x:v>OPENHANDS</x:v>
      </x:c>
      <x:c r="C105" s="3" t="str">
        <x:v>Analyzing and Improving the OpenHands Index</x:v>
      </x:c>
      <x:c r="D105" s="3" t="str">
        <x:v>https://www.openhands.dev/blog/analyzing-and-improving-openhands-index</x:v>
      </x:c>
      <x:c r="E105" s="3" t="str">
        <x:v>2026-10-12</x:v>
      </x:c>
      <x:c r="F105" s="3" t="str">
        <x:v>SDK-linked benchmark traces, external Commit0 history-leak discovery, harness repair and rerun measurements.</x:v>
      </x:c>
    </x:row>
    <x:row r="106" ht="49.5" customHeight="1">
      <x:c r="A106" s="3" t="str">
        <x:v>OH10</x:v>
      </x:c>
      <x:c r="B106" s="3" t="str">
        <x:v>OPENHANDS</x:v>
      </x:c>
      <x:c r="C106" s="3" t="str">
        <x:v>Secret Registry</x:v>
      </x:c>
      <x:c r="D106" s="3" t="str">
        <x:v>https://docs.openhands.dev/sdk/guides/secrets</x:v>
      </x:c>
      <x:c r="E106" s="3" t="str">
        <x:v>2026-10-12</x:v>
      </x:c>
      <x:c r="F106" s="3" t="str">
        <x:v>Rolling SDK docs: registered secrets are injected when referenced and masked in command outputs; broader exfiltration prevention is not claimed.</x:v>
      </x:c>
    </x:row>
    <x:row r="107" ht="49.5" customHeight="1">
      <x:c r="A107" s="3" t="str">
        <x:v>OH11</x:v>
      </x:c>
      <x:c r="B107" s="3" t="str">
        <x:v>OPENHANDS</x:v>
      </x:c>
      <x:c r="C107" s="3" t="str">
        <x:v>Goal Completion Loop</x:v>
      </x:c>
      <x:c r="D107" s="3" t="str">
        <x:v>https://docs.openhands.dev/sdk/guides/convo-goal</x:v>
      </x:c>
      <x:c r="E107" s="3" t="str">
        <x:v>2026-10-12</x:v>
      </x:c>
      <x:c r="F107" s="3" t="str">
        <x:v>Rolling SDK docs: run_goal/GoalController own a hard max_iterations audit-round cap; each inner conversation/tool run remains a separate layer.</x:v>
      </x:c>
    </x:row>
    <x:row r="108" ht="49.5" customHeight="1">
      <x:c r="A108" s="3" t="str">
        <x:v>LG01</x:v>
      </x:c>
      <x:c r="B108" s="3" t="str">
        <x:v>LANGGRAPH</x:v>
      </x:c>
      <x:c r="C108" s="3" t="str">
        <x:v>LangGraph overview</x:v>
      </x:c>
      <x:c r="D108" s="3" t="str">
        <x:v>https://docs.langchain.com/oss/python/langgraph/overview</x:v>
      </x:c>
      <x:c r="E108" s="3" t="str">
        <x:v>2026-10-12</x:v>
      </x:c>
      <x:c r="F108" s="3" t="str">
        <x:v>Separates orchestration runtime from agent frameworks, harnesses and LangSmith; public minimal example.</x:v>
      </x:c>
    </x:row>
    <x:row r="109" ht="49.5" customHeight="1">
      <x:c r="A109" s="3" t="str">
        <x:v>LG02</x:v>
      </x:c>
      <x:c r="B109" s="3" t="str">
        <x:v>LANGGRAPH</x:v>
      </x:c>
      <x:c r="C109" s="3" t="str">
        <x:v>Thinking in LangGraph</x:v>
      </x:c>
      <x:c r="D109" s="3" t="str">
        <x:v>https://docs.langchain.com/oss/python/langgraph/thinking-in-langgraph</x:v>
      </x:c>
      <x:c r="E109" s="3" t="str">
        <x:v>2026-10-12</x:v>
      </x:c>
      <x:c r="F109" s="3" t="str">
        <x:v>Workflow-to-node design, raw shared data, error classes and human escalation.</x:v>
      </x:c>
    </x:row>
    <x:row r="110" ht="49.5" customHeight="1">
      <x:c r="A110" s="3" t="str">
        <x:v>LG03</x:v>
      </x:c>
      <x:c r="B110" s="3" t="str">
        <x:v>LANGGRAPH</x:v>
      </x:c>
      <x:c r="C110" s="3" t="str">
        <x:v>Graph API overview</x:v>
      </x:c>
      <x:c r="D110" s="3" t="str">
        <x:v>https://docs.langchain.com/oss/python/langgraph/graph-api</x:v>
      </x:c>
      <x:c r="E110" s="3" t="str">
        <x:v>2026-10-12</x:v>
      </x:c>
      <x:c r="F110" s="3" t="str">
        <x:v>State/context distinction, reducers, step bounds and structural migration caveats.</x:v>
      </x:c>
    </x:row>
    <x:row r="111" ht="49.5" customHeight="1">
      <x:c r="A111" s="3" t="str">
        <x:v>LG04</x:v>
      </x:c>
      <x:c r="B111" s="3" t="str">
        <x:v>LANGGRAPH</x:v>
      </x:c>
      <x:c r="C111" s="3" t="str">
        <x:v>Subgraphs</x:v>
      </x:c>
      <x:c r="D111" s="3" t="str">
        <x:v>https://docs.langchain.com/oss/python/langgraph/use-subgraphs</x:v>
      </x:c>
      <x:c r="E111" s="3" t="str">
        <x:v>2026-10-12</x:v>
      </x:c>
      <x:c r="F111" s="3" t="str">
        <x:v>Explicit parent/child schema transforms, shared channels and checkpoint propagation.</x:v>
      </x:c>
    </x:row>
    <x:row r="112" ht="49.5" customHeight="1">
      <x:c r="A112" s="3" t="str">
        <x:v>LG05</x:v>
      </x:c>
      <x:c r="B112" s="3" t="str">
        <x:v>LANGGRAPH</x:v>
      </x:c>
      <x:c r="C112" s="3" t="str">
        <x:v>Checkpointers</x:v>
      </x:c>
      <x:c r="D112" s="3" t="str">
        <x:v>https://docs.langchain.com/oss/python/langgraph/checkpointers</x:v>
      </x:c>
      <x:c r="E112" s="3" t="str">
        <x:v>2026-10-12</x:v>
      </x:c>
      <x:c r="F112" s="3" t="str">
        <x:v>Thread/checkpoint identity, pending writes, immutable state forks and durability mode boundaries.</x:v>
      </x:c>
    </x:row>
    <x:row r="113" ht="49.5" customHeight="1">
      <x:c r="A113" s="3" t="str">
        <x:v>LG06</x:v>
      </x:c>
      <x:c r="B113" s="3" t="str">
        <x:v>LANGGRAPH</x:v>
      </x:c>
      <x:c r="C113" s="3" t="str">
        <x:v>Interrupts</x:v>
      </x:c>
      <x:c r="D113" s="3" t="str">
        <x:v>https://docs.langchain.com/oss/python/langgraph/interrupts</x:v>
      </x:c>
      <x:c r="E113" s="3" t="str">
        <x:v>2026-10-12</x:v>
      </x:c>
      <x:c r="F113" s="3" t="str">
        <x:v>External-input suspension, approval routing and required idempotency around replayed nodes.</x:v>
      </x:c>
    </x:row>
    <x:row r="114" ht="49.5" customHeight="1">
      <x:c r="A114" s="3" t="str">
        <x:v>LG07</x:v>
      </x:c>
      <x:c r="B114" s="3" t="str">
        <x:v>LANGGRAPH</x:v>
      </x:c>
      <x:c r="C114" s="3" t="str">
        <x:v>Memory</x:v>
      </x:c>
      <x:c r="D114" s="3" t="str">
        <x:v>https://docs.langchain.com/oss/python/langgraph/add-memory</x:v>
      </x:c>
      <x:c r="E114" s="3" t="str">
        <x:v>2026-10-12</x:v>
      </x:c>
      <x:c r="F114" s="3" t="str">
        <x:v>Scoped namespace search and context trimming examples; database persistence requires configuration.</x:v>
      </x:c>
    </x:row>
    <x:row r="115" ht="49.5" customHeight="1">
      <x:c r="A115" s="3" t="str">
        <x:v>LG08</x:v>
      </x:c>
      <x:c r="B115" s="3" t="str">
        <x:v>LANGGRAPH</x:v>
      </x:c>
      <x:c r="C115" s="3" t="str">
        <x:v>Test</x:v>
      </x:c>
      <x:c r="D115" s="3" t="str">
        <x:v>https://docs.langchain.com/oss/python/langgraph/test</x:v>
      </x:c>
      <x:c r="E115" s="3" t="str">
        <x:v>2026-10-12</x:v>
      </x:c>
      <x:c r="F115" s="3" t="str">
        <x:v>Public pytest patterns for whole graphs, individual nodes and partial graph execution.</x:v>
      </x:c>
    </x:row>
    <x:row r="116" ht="49.5" customHeight="1">
      <x:c r="A116" s="3" t="str">
        <x:v>LG09</x:v>
      </x:c>
      <x:c r="B116" s="3" t="str">
        <x:v>LANGGRAPH</x:v>
      </x:c>
      <x:c r="C116" s="3" t="str">
        <x:v>LangGraph publisher repository</x:v>
      </x:c>
      <x:c r="D116" s="3" t="str">
        <x:v>https://github.com/langchain-ai/langgraph</x:v>
      </x:c>
      <x:c r="E116" s="3" t="str">
        <x:v>2026-10-12</x:v>
      </x:c>
      <x:c r="F116" s="3" t="str">
        <x:v>Public MIT license and separate Python/JS projects.</x:v>
      </x:c>
    </x:row>
    <x:row r="117" ht="49.5" customHeight="1">
      <x:c r="A117" s="3" t="str">
        <x:v>LG10</x:v>
      </x:c>
      <x:c r="B117" s="3" t="str">
        <x:v>LANGGRAPH</x:v>
      </x:c>
      <x:c r="C117" s="3" t="str">
        <x:v>LangSmith evaluation types</x:v>
      </x:c>
      <x:c r="D117" s="3" t="str">
        <x:v>https://docs.langchain.com/langsmith/evaluation-types</x:v>
      </x:c>
      <x:c r="E117" s="3" t="str">
        <x:v>2026-10-12</x:v>
      </x:c>
      <x:c r="F117" s="3" t="str">
        <x:v>Optional separate evaluation platform: reference datasets, code/model evaluators, regression and online evaluation.</x:v>
      </x:c>
    </x:row>
    <x:row r="118" ht="49.5" customHeight="1">
      <x:c r="A118" s="3" t="str">
        <x:v>LG11</x:v>
      </x:c>
      <x:c r="B118" s="3" t="str">
        <x:v>LANGGRAPH</x:v>
      </x:c>
      <x:c r="C118" s="3" t="str">
        <x:v>Use the graph API</x:v>
      </x:c>
      <x:c r="D118" s="3" t="str">
        <x:v>https://docs.langchain.com/oss/python/langgraph/use-graph-api</x:v>
      </x:c>
      <x:c r="E118" s="3" t="str">
        <x:v>2026-10-12</x:v>
      </x:c>
      <x:c r="F118" s="3" t="str">
        <x:v>Opened timeout/retry/concurrency sections: async-only attempt limits, buffered-write discard, no inherited subgraph defaults and maximum concurrent graph tasks.</x:v>
      </x:c>
    </x:row>
    <x:row r="119" ht="49.5" customHeight="1">
      <x:c r="A119" s="3" t="str">
        <x:v>MF01</x:v>
      </x:c>
      <x:c r="B119" s="3" t="str">
        <x:v>MAF</x:v>
      </x:c>
      <x:c r="C119" s="3" t="str">
        <x:v>Microsoft Agent Framework publisher repository</x:v>
      </x:c>
      <x:c r="D119" s="3" t="str">
        <x:v>https://github.com/microsoft/agent-framework</x:v>
      </x:c>
      <x:c r="E119" s="3" t="str">
        <x:v>2026-10-12</x:v>
      </x:c>
      <x:c r="F119" s="3" t="str">
        <x:v>MIT license, public quickstarts, agents/workflows, middleware and separate Labs/hosting integrations.</x:v>
      </x:c>
    </x:row>
    <x:row r="120" ht="49.5" customHeight="1">
      <x:c r="A120" s="3" t="str">
        <x:v>MF02</x:v>
      </x:c>
      <x:c r="B120" s="3" t="str">
        <x:v>MAF</x:v>
      </x:c>
      <x:c r="C120" s="3" t="str">
        <x:v>AutoGen publisher repository</x:v>
      </x:c>
      <x:c r="D120" s="3" t="str">
        <x:v>https://github.com/microsoft/autogen</x:v>
      </x:c>
      <x:c r="E120" s="3" t="str">
        <x:v>2026-10-12</x:v>
      </x:c>
      <x:c r="F120" s="3" t="str">
        <x:v>Explicit maintenance mode, community management, no new features, recommendation to migrate to MAF 1.0.</x:v>
      </x:c>
    </x:row>
    <x:row r="121" ht="49.5" customHeight="1">
      <x:c r="A121" s="3" t="str">
        <x:v>MF03</x:v>
      </x:c>
      <x:c r="B121" s="3" t="str">
        <x:v>MAF</x:v>
      </x:c>
      <x:c r="C121" s="3" t="str">
        <x:v>Semantic Kernel publisher repository</x:v>
      </x:c>
      <x:c r="D121" s="3" t="str">
        <x:v>https://github.com/microsoft/semantic-kernel</x:v>
      </x:c>
      <x:c r="E121" s="3" t="str">
        <x:v>2026-10-12</x:v>
      </x:c>
      <x:c r="F121" s="3" t="str">
        <x:v>Identifies current MAF 1.0 production-ready successor and links migration resources.</x:v>
      </x:c>
    </x:row>
    <x:row r="122" ht="49.5" customHeight="1">
      <x:c r="A122" s="3" t="str">
        <x:v>MF04</x:v>
      </x:c>
      <x:c r="B122" s="3" t="str">
        <x:v>MAF</x:v>
      </x:c>
      <x:c r="C122" s="3" t="str">
        <x:v>Semantic Kernel and Microsoft Agent Framework</x:v>
      </x:c>
      <x:c r="D122" s="3" t="str">
        <x:v>https://devblogs.microsoft.com/agent-framework/semantic-kernel-and-microsoft-agent-framework/</x:v>
      </x:c>
      <x:c r="E122" s="3" t="str">
        <x:v>2026-10-12</x:v>
      </x:c>
      <x:c r="F122" s="3" t="str">
        <x:v>Dated support policy: critical/security fixes retained, majority of new features focused on MAF.</x:v>
      </x:c>
    </x:row>
    <x:row r="123" ht="49.5" customHeight="1">
      <x:c r="A123" s="3" t="str">
        <x:v>MF05</x:v>
      </x:c>
      <x:c r="B123" s="3" t="str">
        <x:v>MAF</x:v>
      </x:c>
      <x:c r="C123" s="3" t="str">
        <x:v>AutoGen migration guide</x:v>
      </x:c>
      <x:c r="D123" s="3" t="str">
        <x:v>https://learn.microsoft.com/en-us/agent-framework/migration-guide/from-autogen/</x:v>
      </x:c>
      <x:c r="E123" s="3" t="str">
        <x:v>2026-10-12</x:v>
      </x:c>
      <x:c r="F123" s="3" t="str">
        <x:v>Contrasts old Team/runtime APIs with typed workflows; current guide scopes MAF to single-process composition.</x:v>
      </x:c>
    </x:row>
    <x:row r="124" ht="49.5" customHeight="1">
      <x:c r="A124" s="3" t="str">
        <x:v>MF06</x:v>
      </x:c>
      <x:c r="B124" s="3" t="str">
        <x:v>MAF</x:v>
      </x:c>
      <x:c r="C124" s="3" t="str">
        <x:v>Semantic Kernel migration guide</x:v>
      </x:c>
      <x:c r="D124" s="3" t="str">
        <x:v>https://learn.microsoft.com/en-us/agent-framework/migration-guide/from-semantic-kernel/</x:v>
      </x:c>
      <x:c r="E124" s="3" t="str">
        <x:v>2026-10-12</x:v>
      </x:c>
      <x:c r="F124" s="3" t="str">
        <x:v>Concrete migration of agent/tool abstractions; does not make predecessor features automatically current MAF features.</x:v>
      </x:c>
    </x:row>
    <x:row r="125" ht="49.5" customHeight="1">
      <x:c r="A125" s="3" t="str">
        <x:v>MF07</x:v>
      </x:c>
      <x:c r="B125" s="3" t="str">
        <x:v>MAF</x:v>
      </x:c>
      <x:c r="C125" s="3" t="str">
        <x:v>Workflow checkpoints</x:v>
      </x:c>
      <x:c r="D125" s="3" t="str">
        <x:v>https://learn.microsoft.com/en-us/agent-framework/workflows/checkpoints</x:v>
      </x:c>
      <x:c r="E125" s="3" t="str">
        <x:v>2026-10-12</x:v>
      </x:c>
      <x:c r="F125" s="3" t="str">
        <x:v>Fresh-instance rehydration requires matching topology and stable executor identities; explicit storage choices.</x:v>
      </x:c>
    </x:row>
    <x:row r="126" ht="49.5" customHeight="1">
      <x:c r="A126" s="3" t="str">
        <x:v>MF08</x:v>
      </x:c>
      <x:c r="B126" s="3" t="str">
        <x:v>MAF</x:v>
      </x:c>
      <x:c r="C126" s="3" t="str">
        <x:v>Functional Workflow API</x:v>
      </x:c>
      <x:c r="D126" s="3" t="str">
        <x:v>https://learn.microsoft.com/en-us/agent-framework/concepts/workflows/functional</x:v>
      </x:c>
      <x:c r="E126" s="3" t="str">
        <x:v>2026-10-12</x:v>
      </x:c>
      <x:c r="F126" s="3" t="str">
        <x:v>Step caching, stable replay keys, concurrent-cache refusal and pending-request states.</x:v>
      </x:c>
    </x:row>
    <x:row r="127" ht="49.5" customHeight="1">
      <x:c r="A127" s="3" t="str">
        <x:v>MF09</x:v>
      </x:c>
      <x:c r="B127" s="3" t="str">
        <x:v>MAF</x:v>
      </x:c>
      <x:c r="C127" s="3" t="str">
        <x:v>Workflow human-in-the-loop</x:v>
      </x:c>
      <x:c r="D127" s="3" t="str">
        <x:v>https://learn.microsoft.com/en-us/agent-framework/workflows/human-in-the-loop</x:v>
      </x:c>
      <x:c r="E127" s="3" t="str">
        <x:v>2026-10-12</x:v>
      </x:c>
      <x:c r="F127" s="3" t="str">
        <x:v>Typed external request/response ports and approval-required tools before execution.</x:v>
      </x:c>
    </x:row>
    <x:row r="128" ht="49.5" customHeight="1">
      <x:c r="A128" s="3" t="str">
        <x:v>MF10</x:v>
      </x:c>
      <x:c r="B128" s="3" t="str">
        <x:v>MAF</x:v>
      </x:c>
      <x:c r="C128" s="3" t="str">
        <x:v>Agent Skills</x:v>
      </x:c>
      <x:c r="D128" s="3" t="str">
        <x:v>https://learn.microsoft.com/en-us/agent-framework/agents/skills</x:v>
      </x:c>
      <x:c r="E128" s="3" t="str">
        <x:v>2026-10-12</x:v>
      </x:c>
      <x:c r="F128" s="3" t="str">
        <x:v>Progressive instructions/resources/scripts with file, inline, class and MCP sources.</x:v>
      </x:c>
    </x:row>
    <x:row r="129" ht="49.5" customHeight="1">
      <x:c r="A129" s="3" t="str">
        <x:v>MF11</x:v>
      </x:c>
      <x:c r="B129" s="3" t="str">
        <x:v>MAF</x:v>
      </x:c>
      <x:c r="C129" s="3" t="str">
        <x:v>Agent Security with FIDES</x:v>
      </x:c>
      <x:c r="D129" s="3" t="str">
        <x:v>https://learn.microsoft.com/en-us/agent-framework/agents/security</x:v>
      </x:c>
      <x:c r="E129" s="3" t="str">
        <x:v>2026-10-12</x:v>
      </x:c>
      <x:c r="F129" s="3" t="str">
        <x:v>Experimental Python-only FIDES for direct agent tools. .NET and Monty/Hyperlight CodeAct nested calls/file/network capabilities lack enforcement; host policy remains required.</x:v>
      </x:c>
    </x:row>
    <x:row r="130" ht="49.5" customHeight="1">
      <x:c r="A130" s="3" t="str">
        <x:v>MF12</x:v>
      </x:c>
      <x:c r="B130" s="3" t="str">
        <x:v>MAF</x:v>
      </x:c>
      <x:c r="C130" s="3" t="str">
        <x:v>Evaluation</x:v>
      </x:c>
      <x:c r="D130" s="3" t="str">
        <x:v>https://learn.microsoft.com/en-us/agent-framework/agents/evaluation</x:v>
      </x:c>
      <x:c r="E130" s="3" t="str">
        <x:v>2026-10-12</x:v>
      </x:c>
      <x:c r="F130" s="3" t="str">
        <x:v>Core local evaluators, expected outputs, workflow evaluation and CI checks; cloud provider is optional.</x:v>
      </x:c>
    </x:row>
    <x:row r="131" ht="49.5" customHeight="1">
      <x:c r="A131" s="3" t="str">
        <x:v>MF13</x:v>
      </x:c>
      <x:c r="B131" s="3" t="str">
        <x:v>MAF</x:v>
      </x:c>
      <x:c r="C131" s="3" t="str">
        <x:v>Agent observability</x:v>
      </x:c>
      <x:c r="D131" s="3" t="str">
        <x:v>https://learn.microsoft.com/en-us/agent-framework/agents/observability</x:v>
      </x:c>
      <x:c r="E131" s="3" t="str">
        <x:v>2026-10-12</x:v>
      </x:c>
      <x:c r="F131" s="3" t="str">
        <x:v>Native OpenTelemetry token and time metrics, model/tool spans and configurable exporters.</x:v>
      </x:c>
    </x:row>
    <x:row r="132" ht="49.5" customHeight="1">
      <x:c r="A132" s="3" t="str">
        <x:v>MF14</x:v>
      </x:c>
      <x:c r="B132" s="3" t="str">
        <x:v>MAF</x:v>
      </x:c>
      <x:c r="C132" s="3" t="str">
        <x:v>Workflow observability</x:v>
      </x:c>
      <x:c r="D132" s="3" t="str">
        <x:v>https://learn.microsoft.com/en-us/agent-framework/workflows/observability</x:v>
      </x:c>
      <x:c r="E132" s="3" t="str">
        <x:v>2026-10-12</x:v>
      </x:c>
      <x:c r="F132" s="3" t="str">
        <x:v>Workflow/executor spans and metrics augment model telemetry.</x:v>
      </x:c>
    </x:row>
    <x:row r="133" ht="49.5" customHeight="1">
      <x:c r="A133" s="3" t="str">
        <x:v>MF15</x:v>
      </x:c>
      <x:c r="B133" s="3" t="str">
        <x:v>MAF</x:v>
      </x:c>
      <x:c r="C133" s="3" t="str">
        <x:v>Adding Context Providers</x:v>
      </x:c>
      <x:c r="D133" s="3" t="str">
        <x:v>https://learn.microsoft.com/en-us/agent-framework/journey/adding-context-providers</x:v>
      </x:c>
      <x:c r="E133" s="3" t="str">
        <x:v>2026-10-12</x:v>
      </x:c>
      <x:c r="F133" s="3" t="str">
        <x:v>Developer-selected context acquisition, token costs, staleness and silent-truncation caveats.</x:v>
      </x:c>
    </x:row>
    <x:row r="134" ht="49.5" customHeight="1">
      <x:c r="A134" s="3" t="str">
        <x:v>MF16</x:v>
      </x:c>
      <x:c r="B134" s="3" t="str">
        <x:v>MAF</x:v>
      </x:c>
      <x:c r="C134" s="3" t="str">
        <x:v>Workflow orchestrations</x:v>
      </x:c>
      <x:c r="D134" s="3" t="str">
        <x:v>https://learn.microsoft.com/en-us/agent-framework/workflows/orchestrations/</x:v>
      </x:c>
      <x:c r="E134" s="3" t="str">
        <x:v>2026-10-12</x:v>
      </x:c>
      <x:c r="F134" s="3" t="str">
        <x:v>Sequential, concurrent, handoff, group-chat and manager coordination are separately scoped.</x:v>
      </x:c>
    </x:row>
    <x:row r="135" ht="49.5" customHeight="1">
      <x:c r="A135" s="3" t="str">
        <x:v>MF17</x:v>
      </x:c>
      <x:c r="B135" s="3" t="str">
        <x:v>MAF</x:v>
      </x:c>
      <x:c r="C135" s="3" t="str">
        <x:v>Agent Looping</x:v>
      </x:c>
      <x:c r="D135" s="3" t="str">
        <x:v>https://learn.microsoft.com/en-us/agent-framework/agents/looping</x:v>
      </x:c>
      <x:c r="E135" s="3" t="str">
        <x:v>2026-10-12</x:v>
      </x:c>
      <x:c r="F135" s="3" t="str">
        <x:v>Experimental LoopAgent/AgentLoopMiddleware with configurable maximum invocations; not a shared token/spend budget, and packaged capability unavailable in Go.</x:v>
      </x:c>
    </x:row>
    <x:row r="136" ht="49.5" customHeight="1">
      <x:c r="A136" s="3" t="str">
        <x:v>MF18</x:v>
      </x:c>
      <x:c r="B136" s="3" t="str">
        <x:v>MAF</x:v>
      </x:c>
      <x:c r="C136" s="3" t="str">
        <x:v>Agent Background Responses</x:v>
      </x:c>
      <x:c r="D136" s="3" t="str">
        <x:v>https://learn.microsoft.com/en-us/agent-framework/agents/background-responses</x:v>
      </x:c>
      <x:c r="E136" s="3" t="str">
        <x:v>2026-10-12</x:v>
      </x:c>
      <x:c r="F136" s="3" t="str">
        <x:v>Current provider-dependent background response/polling/stream-resumption behavior; client stream interruption does not establish remote termination.</x:v>
      </x:c>
    </x:row>
    <x:row r="137" ht="49.5" customHeight="1">
      <x:c r="A137" s="3" t="str">
        <x:v>CR01</x:v>
      </x:c>
      <x:c r="B137" s="3" t="str">
        <x:v>CREWAI</x:v>
      </x:c>
      <x:c r="C137" s="3" t="str">
        <x:v>CrewAI publisher repository</x:v>
      </x:c>
      <x:c r="D137" s="3" t="str">
        <x:v>https://github.com/crewAIInc/crewAI</x:v>
      </x:c>
      <x:c r="E137" s="3" t="str">
        <x:v>2026-10-12</x:v>
      </x:c>
      <x:c r="F137" s="3" t="str">
        <x:v>OSS crews/flows purpose, MIT license and separate cloud/AMP offering.</x:v>
      </x:c>
    </x:row>
    <x:row r="138" ht="49.5" customHeight="1">
      <x:c r="A138" s="3" t="str">
        <x:v>CR02</x:v>
      </x:c>
      <x:c r="B138" s="3" t="str">
        <x:v>CREWAI</x:v>
      </x:c>
      <x:c r="C138" s="3" t="str">
        <x:v>Agents</x:v>
      </x:c>
      <x:c r="D138" s="3" t="str">
        <x:v>https://docs.crewai.com/v1.15.27/en/concepts/agents</x:v>
      </x:c>
      <x:c r="E138" s="3" t="str">
        <x:v>2026-10-12</x:v>
      </x:c>
      <x:c r="F138" s="3" t="str">
        <x:v>Agent goals, tools, delegation, execution bounds and strict versus summarized context overflow.</x:v>
      </x:c>
    </x:row>
    <x:row r="139" ht="49.5" customHeight="1">
      <x:c r="A139" s="3" t="str">
        <x:v>CR03</x:v>
      </x:c>
      <x:c r="B139" s="3" t="str">
        <x:v>CREWAI</x:v>
      </x:c>
      <x:c r="C139" s="3" t="str">
        <x:v>Tasks</x:v>
      </x:c>
      <x:c r="D139" s="3" t="str">
        <x:v>https://docs.crewai.com/v1.15.27/en/concepts/tasks</x:v>
      </x:c>
      <x:c r="E139" s="3" t="str">
        <x:v>2026-10-12</x:v>
      </x:c>
      <x:c r="F139" s="3" t="str">
        <x:v>Descriptions/expected output, assigned actors, task context, typed outputs and output guardrail retry limits.</x:v>
      </x:c>
    </x:row>
    <x:row r="140" ht="49.5" customHeight="1">
      <x:c r="A140" s="3" t="str">
        <x:v>CR04</x:v>
      </x:c>
      <x:c r="B140" s="3" t="str">
        <x:v>CREWAI</x:v>
      </x:c>
      <x:c r="C140" s="3" t="str">
        <x:v>Flows</x:v>
      </x:c>
      <x:c r="D140" s="3" t="str">
        <x:v>https://docs.crewai.com/v1.15.27/en/concepts/flows</x:v>
      </x:c>
      <x:c r="E140" s="3" t="str">
        <x:v>2026-10-12</x:v>
      </x:c>
      <x:c r="F140" s="3" t="str">
        <x:v>Flow state/UUID, event routing, persistence forks and native full-run usage_metrics semantics.</x:v>
      </x:c>
    </x:row>
    <x:row r="141" ht="49.5" customHeight="1">
      <x:c r="A141" s="3" t="str">
        <x:v>CR05</x:v>
      </x:c>
      <x:c r="B141" s="3" t="str">
        <x:v>CREWAI</x:v>
      </x:c>
      <x:c r="C141" s="3" t="str">
        <x:v>Checkpointing</x:v>
      </x:c>
      <x:c r="D141" s="3" t="str">
        <x:v>https://docs.crewai.com/v1.15.27/en/concepts/checkpointing</x:v>
      </x:c>
      <x:c r="E141" s="3" t="str">
        <x:v>2026-10-12</x:v>
      </x:c>
      <x:c r="F141" s="3" t="str">
        <x:v>Serialized execution/configuration/history with lineage, completed-task skipping; automatic writes are best-effort.</x:v>
      </x:c>
    </x:row>
    <x:row r="142" ht="49.5" customHeight="1">
      <x:c r="A142" s="3" t="str">
        <x:v>CR06</x:v>
      </x:c>
      <x:c r="B142" s="3" t="str">
        <x:v>CREWAI</x:v>
      </x:c>
      <x:c r="C142" s="3" t="str">
        <x:v>Human Feedback in Flows</x:v>
      </x:c>
      <x:c r="D142" s="3" t="str">
        <x:v>https://docs.crewai.com/v1.15.27/en/learn/human-feedback-in-flows</x:v>
      </x:c>
      <x:c r="E142" s="3" t="str">
        <x:v>2026-10-12</x:v>
      </x:c>
      <x:c r="F142" s="3" t="str">
        <x:v>Paused feedback context, fresh-instance resume, routing outcomes and idempotent resume-handler guidance.</x:v>
      </x:c>
    </x:row>
    <x:row r="143" ht="49.5" customHeight="1">
      <x:c r="A143" s="3" t="str">
        <x:v>CR07</x:v>
      </x:c>
      <x:c r="B143" s="3" t="str">
        <x:v>CREWAI</x:v>
      </x:c>
      <x:c r="C143" s="3" t="str">
        <x:v>Skills</x:v>
      </x:c>
      <x:c r="D143" s="3" t="str">
        <x:v>https://docs.crewai.com/v1.15.27/en/concepts/skills</x:v>
      </x:c>
      <x:c r="E143" s="3" t="str">
        <x:v>2026-10-12</x:v>
      </x:c>
      <x:c r="F143" s="3" t="str">
        <x:v>Native discovery/activation/resource stages; dynamically selected instructions are scoped to an execution.</x:v>
      </x:c>
    </x:row>
    <x:row r="144" ht="49.5" customHeight="1">
      <x:c r="A144" s="3" t="str">
        <x:v>CR08</x:v>
      </x:c>
      <x:c r="B144" s="3" t="str">
        <x:v>CREWAI</x:v>
      </x:c>
      <x:c r="C144" s="3" t="str">
        <x:v>Testing</x:v>
      </x:c>
      <x:c r="D144" s="3" t="str">
        <x:v>https://docs.crewai.com/v1.15.27/en/concepts/testing</x:v>
      </x:c>
      <x:c r="E144" s="3" t="str">
        <x:v>2026-10-12</x:v>
      </x:c>
      <x:c r="F144" s="3" t="str">
        <x:v>CLI repeated crew runs and score/time reports; illustrated table is not a controlled outcome experiment.</x:v>
      </x:c>
    </x:row>
    <x:row r="145" ht="49.5" customHeight="1">
      <x:c r="A145" s="3" t="str">
        <x:v>CR09</x:v>
      </x:c>
      <x:c r="B145" s="3" t="str">
        <x:v>CREWAI</x:v>
      </x:c>
      <x:c r="C145" s="3" t="str">
        <x:v>Event Listeners</x:v>
      </x:c>
      <x:c r="D145" s="3" t="str">
        <x:v>https://docs.crewai.com/v1.15.27/en/concepts/event-listener</x:v>
      </x:c>
      <x:c r="E145" s="3" t="str">
        <x:v>2026-10-12</x:v>
      </x:c>
      <x:c r="F145" s="3" t="str">
        <x:v>Native model/tool/memory/feedback lifecycle events and retrieval timing.</x:v>
      </x:c>
    </x:row>
    <x:row r="146" ht="49.5" customHeight="1">
      <x:c r="A146" s="3" t="str">
        <x:v>CR10</x:v>
      </x:c>
      <x:c r="B146" s="3" t="str">
        <x:v>CREWAI</x:v>
      </x:c>
      <x:c r="C146" s="3" t="str">
        <x:v>Tool Call Hooks</x:v>
      </x:c>
      <x:c r="D146" s="3" t="str">
        <x:v>https://docs.crewai.com/v1.15.27/en/learn/tool-hooks</x:v>
      </x:c>
      <x:c r="E146" s="3" t="str">
        <x:v>2026-10-12</x:v>
      </x:c>
      <x:c r="F146" s="3" t="str">
        <x:v>Pre-tool interception can block execution; ordinary hook exceptions are swallowed, so blocking must use explicit abort semantics.</x:v>
      </x:c>
    </x:row>
    <x:row r="147" ht="49.5" customHeight="1">
      <x:c r="A147" s="3" t="str">
        <x:v>CR11</x:v>
      </x:c>
      <x:c r="B147" s="3" t="str">
        <x:v>CREWAI</x:v>
      </x:c>
      <x:c r="C147" s="3" t="str">
        <x:v>Crews</x:v>
      </x:c>
      <x:c r="D147" s="3" t="str">
        <x:v>https://docs.crewai.com/v1.15.27/en/concepts/crews</x:v>
      </x:c>
      <x:c r="E147" s="3" t="str">
        <x:v>2026-10-12</x:v>
      </x:c>
      <x:c r="F147" s="3" t="str">
        <x:v>Crew/task composition and raw/typed/token/per-task output surfaces.</x:v>
      </x:c>
    </x:row>
    <x:row r="148" ht="49.5" customHeight="1">
      <x:c r="A148" s="3" t="str">
        <x:v>CR12</x:v>
      </x:c>
      <x:c r="B148" s="3" t="str">
        <x:v>CREWAI</x:v>
      </x:c>
      <x:c r="C148" s="3" t="str">
        <x:v>MCP Security Considerations</x:v>
      </x:c>
      <x:c r="D148" s="3" t="str">
        <x:v>https://docs.crewai.com/v1.15.27/en/mcp/security</x:v>
      </x:c>
      <x:c r="E148" s="3" t="str">
        <x:v>2026-10-12</x:v>
      </x:c>
      <x:c r="F148" s="3" t="str">
        <x:v>Explicit metadata-injection/data-exposure risks, trusted-server and least-privilege guidance; server-side authentication/input validation/resource limits are external responsibilities.</x:v>
      </x:c>
    </x:row>
    <x:row r="149" ht="49.5" customHeight="1">
      <x:c r="A149" s="3" t="str">
        <x:v>PA01</x:v>
      </x:c>
      <x:c r="B149" s="3" t="str">
        <x:v>PYDANTIC</x:v>
      </x:c>
      <x:c r="C149" s="3" t="str">
        <x:v>Pydantic AI publisher repository</x:v>
      </x:c>
      <x:c r="D149" s="3" t="str">
        <x:v>https://github.com/pydantic/pydantic-ai</x:v>
      </x:c>
      <x:c r="E149" s="3" t="str">
        <x:v>2026-10-12</x:v>
      </x:c>
      <x:c r="F149" s="3" t="str">
        <x:v>MIT license and repository separation of core, graph and eval packages.</x:v>
      </x:c>
    </x:row>
    <x:row r="150" ht="49.5" customHeight="1">
      <x:c r="A150" s="3" t="str">
        <x:v>PA02</x:v>
      </x:c>
      <x:c r="B150" s="3" t="str">
        <x:v>PYDANTIC</x:v>
      </x:c>
      <x:c r="C150" s="3" t="str">
        <x:v>Agents</x:v>
      </x:c>
      <x:c r="D150" s="3" t="str">
        <x:v>https://pydantic.dev/docs/ai/core-concepts/agent/</x:v>
      </x:c>
      <x:c r="E150" s="3" t="str">
        <x:v>2026-10-12</x:v>
      </x:c>
      <x:c r="F150" s="3" t="str">
        <x:v>Run/dependency/output semantics, usage limits, per-request input checks, metadata and cancellation.</x:v>
      </x:c>
    </x:row>
    <x:row r="151" ht="49.5" customHeight="1">
      <x:c r="A151" s="3" t="str">
        <x:v>PA03</x:v>
      </x:c>
      <x:c r="B151" s="3" t="str">
        <x:v>PYDANTIC</x:v>
      </x:c>
      <x:c r="C151" s="3" t="str">
        <x:v>Agent Specs</x:v>
      </x:c>
      <x:c r="D151" s="3" t="str">
        <x:v>https://pydantic.dev/docs/ai/core-concepts/agent-spec/</x:v>
      </x:c>
      <x:c r="E151" s="3" t="str">
        <x:v>2026-10-12</x:v>
      </x:c>
      <x:c r="F151" s="3" t="str">
        <x:v>YAML/JSON configuration distinct from code; template validation, schema settings and override/merge semantics.</x:v>
      </x:c>
    </x:row>
    <x:row r="152" ht="49.5" customHeight="1">
      <x:c r="A152" s="3" t="str">
        <x:v>PA04</x:v>
      </x:c>
      <x:c r="B152" s="3" t="str">
        <x:v>PYDANTIC</x:v>
      </x:c>
      <x:c r="C152" s="3" t="str">
        <x:v>On-Demand Capabilities</x:v>
      </x:c>
      <x:c r="D152" s="3" t="str">
        <x:v>https://pydantic.dev/docs/ai/capabilities/on-demand/</x:v>
      </x:c>
      <x:c r="E152" s="3" t="str">
        <x:v>2026-10-12</x:v>
      </x:c>
      <x:c r="F152" s="3" t="str">
        <x:v>Selective instruction/tool bundles, stable capability IDs, history reconstruction and explicit exposure boundaries.</x:v>
      </x:c>
    </x:row>
    <x:row r="153" ht="49.5" customHeight="1">
      <x:c r="A153" s="3" t="str">
        <x:v>PA05</x:v>
      </x:c>
      <x:c r="B153" s="3" t="str">
        <x:v>PYDANTIC</x:v>
      </x:c>
      <x:c r="C153" s="3" t="str">
        <x:v>Multi-agent Applications</x:v>
      </x:c>
      <x:c r="D153" s="3" t="str">
        <x:v>https://pydantic.dev/docs/ai/guides/multi-agent-applications/</x:v>
      </x:c>
      <x:c r="E153" s="3" t="str">
        <x:v>2026-10-12</x:v>
      </x:c>
      <x:c r="F153" s="3" t="str">
        <x:v>Typed delegation and handoff guidance, shared usage rollup, distinct model costs and Temporal-context caveat.</x:v>
      </x:c>
    </x:row>
    <x:row r="154" ht="49.5" customHeight="1">
      <x:c r="A154" s="3" t="str">
        <x:v>PA06</x:v>
      </x:c>
      <x:c r="B154" s="3" t="str">
        <x:v>PYDANTIC</x:v>
      </x:c>
      <x:c r="C154" s="3" t="str">
        <x:v>Durable Execution</x:v>
      </x:c>
      <x:c r="D154" s="3" t="str">
        <x:v>https://pydantic.dev/docs/ai/capabilities/durable_execution/overview/</x:v>
      </x:c>
      <x:c r="E154" s="3" t="str">
        <x:v>2026-10-12</x:v>
      </x:c>
      <x:c r="F154" s="3" t="str">
        <x:v>Optional external engine integrations differ from conversation storage; one engine per agent is enforced.</x:v>
      </x:c>
    </x:row>
    <x:row r="155" ht="49.5" customHeight="1">
      <x:c r="A155" s="3" t="str">
        <x:v>PA07</x:v>
      </x:c>
      <x:c r="B155" s="3" t="str">
        <x:v>PYDANTIC</x:v>
      </x:c>
      <x:c r="C155" s="3" t="str">
        <x:v>Building a durable execution backend</x:v>
      </x:c>
      <x:c r="D155" s="3" t="str">
        <x:v>https://pydantic.dev/docs/ai/capabilities/durable_execution/backends/</x:v>
      </x:c>
      <x:c r="E155" s="3" t="str">
        <x:v>2026-10-12</x:v>
      </x:c>
      <x:c r="F155" s="3" t="str">
        <x:v>Stable persisted operation names, codec boundaries, recovery tests and effect-before-checkpoint duplication caveat.</x:v>
      </x:c>
    </x:row>
    <x:row r="156" ht="49.5" customHeight="1">
      <x:c r="A156" s="3" t="str">
        <x:v>PA08</x:v>
      </x:c>
      <x:c r="B156" s="3" t="str">
        <x:v>PYDANTIC</x:v>
      </x:c>
      <x:c r="C156" s="3" t="str">
        <x:v>Deferred Tools</x:v>
      </x:c>
      <x:c r="D156" s="3" t="str">
        <x:v>https://pydantic.dev/docs/ai/tools-toolsets/deferred-tools/</x:v>
      </x:c>
      <x:c r="E156" s="3" t="str">
        <x:v>2026-10-12</x:v>
      </x:c>
      <x:c r="F156" s="3" t="str">
        <x:v>Approval/denial and external results correlate tool-call IDs; approval is explicitly not client authentication/authorization.</x:v>
      </x:c>
    </x:row>
    <x:row r="157" ht="49.5" customHeight="1">
      <x:c r="A157" s="3" t="str">
        <x:v>PA09</x:v>
      </x:c>
      <x:c r="B157" s="3" t="str">
        <x:v>PYDANTIC</x:v>
      </x:c>
      <x:c r="C157" s="3" t="str">
        <x:v>Advanced Tool Features</x:v>
      </x:c>
      <x:c r="D157" s="3" t="str">
        <x:v>https://pydantic.dev/docs/ai/tools-toolsets/tools-advanced/</x:v>
      </x:c>
      <x:c r="E157" s="3" t="str">
        <x:v>2026-10-12</x:v>
      </x:c>
      <x:c r="F157" s="3" t="str">
        <x:v>Tool preparation and argument validators; approval-required metadata preservation matters.</x:v>
      </x:c>
    </x:row>
    <x:row r="158" ht="49.5" customHeight="1">
      <x:c r="A158" s="3" t="str">
        <x:v>PA10</x:v>
      </x:c>
      <x:c r="B158" s="3" t="str">
        <x:v>PYDANTIC</x:v>
      </x:c>
      <x:c r="C158" s="3" t="str">
        <x:v>Unit testing</x:v>
      </x:c>
      <x:c r="D158" s="3" t="str">
        <x:v>https://pydantic.dev/docs/ai/guides/testing/</x:v>
      </x:c>
      <x:c r="E158" s="3" t="str">
        <x:v>2026-10-12</x:v>
      </x:c>
      <x:c r="F158" s="3" t="str">
        <x:v>TestModel/FunctionModel, dependency/toolset overrides and prevention of accidental real-model calls.</x:v>
      </x:c>
    </x:row>
    <x:row r="159" ht="49.5" customHeight="1">
      <x:c r="A159" s="3" t="str">
        <x:v>PA11</x:v>
      </x:c>
      <x:c r="B159" s="3" t="str">
        <x:v>PYDANTIC</x:v>
      </x:c>
      <x:c r="C159" s="3" t="str">
        <x:v>Pydantic Evals</x:v>
      </x:c>
      <x:c r="D159" s="3" t="str">
        <x:v>https://pydantic.dev/docs/ai/evals/evals/</x:v>
      </x:c>
      <x:c r="E159" s="3" t="str">
        <x:v>2026-10-12</x:v>
      </x:c>
      <x:c r="F159" s="3" t="str">
        <x:v>Separate package with case expected outputs, custom evaluators, datasets and experiments; not dependent on Pydantic AI.</x:v>
      </x:c>
    </x:row>
    <x:row r="160" ht="49.5" customHeight="1">
      <x:c r="A160" s="3" t="str">
        <x:v>PA12</x:v>
      </x:c>
      <x:c r="B160" s="3" t="str">
        <x:v>PYDANTIC</x:v>
      </x:c>
      <x:c r="C160" s="3" t="str">
        <x:v>Debugging and Monitoring / Logfire</x:v>
      </x:c>
      <x:c r="D160" s="3" t="str">
        <x:v>https://pydantic.dev/docs/ai/integrations/logfire/</x:v>
      </x:c>
      <x:c r="E160" s="3" t="str">
        <x:v>2026-10-12</x:v>
      </x:c>
      <x:c r="F160" s="3" t="str">
        <x:v>Native OTel can operate without Logfire; token cache semantics and own-versus-delegate span aggregation are documented.</x:v>
      </x:c>
    </x:row>
    <x:row r="161" ht="49.5" customHeight="1">
      <x:c r="A161" s="3" t="str">
        <x:v>PA13</x:v>
      </x:c>
      <x:c r="B161" s="3" t="str">
        <x:v>PYDANTIC</x:v>
      </x:c>
      <x:c r="C161" s="3" t="str">
        <x:v>Version Policy</x:v>
      </x:c>
      <x:c r="D161" s="3" t="str">
        <x:v>https://pydantic.dev/docs/ai/project/version-policy/</x:v>
      </x:c>
      <x:c r="E161" s="3" t="str">
        <x:v>2026-10-12</x:v>
      </x:c>
      <x:c r="F161" s="3" t="str">
        <x:v>Stable V2 release date and API/telemetry compatibility exceptions.</x:v>
      </x:c>
    </x:row>
    <x:row r="162" ht="49.5" customHeight="1">
      <x:c r="A162" s="3" t="str">
        <x:v>PA14</x:v>
      </x:c>
      <x:c r="B162" s="3" t="str">
        <x:v>PYDANTIC</x:v>
      </x:c>
      <x:c r="C162" s="3" t="str">
        <x:v>Harness Skills</x:v>
      </x:c>
      <x:c r="D162" s="3" t="str">
        <x:v>https://pydantic.dev/docs/ai/harness/skills/</x:v>
      </x:c>
      <x:c r="E162" s="3" t="str">
        <x:v>2026-10-12</x:v>
      </x:c>
      <x:c r="F162" s="3" t="str">
        <x:v>Separate 0.x harness capability; explicit libraries, instruction-only loading and no permission boundary.</x:v>
      </x:c>
    </x:row>
    <x:row r="163" ht="49.5" customHeight="1">
      <x:c r="A163" s="3" t="str">
        <x:v>PA15</x:v>
      </x:c>
      <x:c r="B163" s="3" t="str">
        <x:v>PYDANTIC</x:v>
      </x:c>
      <x:c r="C163" s="3" t="str">
        <x:v>Pydantic AI overview</x:v>
      </x:c>
      <x:c r="D163" s="3" t="str">
        <x:v>https://pydantic.dev/docs/ai/overview/</x:v>
      </x:c>
      <x:c r="E163" s="3" t="str">
        <x:v>2026-10-12</x:v>
      </x:c>
      <x:c r="F163" s="3" t="str">
        <x:v>Public installation/use orientation; runtime, optional harness and eval documentation surfaces remain distinguishable.</x:v>
      </x:c>
    </x:row>
    <x:row r="164" ht="49.5" customHeight="1">
      <x:c r="A164" s="3" t="str">
        <x:v>PA16</x:v>
      </x:c>
      <x:c r="B164" s="3" t="str">
        <x:v>PYDANTIC</x:v>
      </x:c>
      <x:c r="C164" s="3" t="str">
        <x:v>Durable Execution with Temporal</x:v>
      </x:c>
      <x:c r="D164" s="3" t="str">
        <x:v>https://pydantic.dev/docs/ai/capabilities/durable_execution/temporal/</x:v>
      </x:c>
      <x:c r="E164" s="3" t="str">
        <x:v>2026-10-12</x:v>
      </x:c>
      <x:c r="F164" s="3" t="str">
        <x:v>Worker/capability identity constraints, replayed side-effect handlers and cross-process run-context limitations.</x:v>
      </x:c>
    </x:row>
  </x:sheetData>
  <x:mergeCells>
    <x:mergeCell ref="A1:F1"/>
    <x:mergeCell ref="A2:F2"/>
  </x:mergeCells>
  <x:pageMargins left="0.7" right="0.7" top="0.75" bottom="0.75" header="0.3" footer="0.3"/>
  <x:tableParts count="1">
    <x:tablePart xmlns:r="http://schemas.openxmlformats.org/officeDocument/2006/relationships" r:id="R3ac35002e8794b56"/>
  </x:tableParts>
</x:worksheet>
</file>

<file path=xl/worksheets/sheet10.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3.890000343322754" hidden="0" customWidth="1"/>
    <x:col min="2" max="2" width="28.889999389648438" hidden="0" customWidth="1"/>
    <x:col min="3" max="3" width="20" hidden="0" customWidth="1"/>
    <x:col min="4" max="4" width="68.88999938964844" hidden="0" customWidth="1"/>
    <x:col min="5" max="5" width="65.55999755859375" hidden="0" customWidth="1"/>
    <x:col min="6" max="6" width="48.88999938964844" hidden="0" customWidth="1"/>
  </x:cols>
  <x:sheetData>
    <x:row r="1" ht="25.5" customHeight="1">
      <x:c r="A1" s="4" t="str">
        <x:v>Candidate scope and evidence maturity</x:v>
      </x:c>
      <x:c r="B1" s="4"/>
      <x:c r="C1" s="4"/>
      <x:c r="D1" s="4"/>
      <x:c r="E1" s="4"/>
      <x:c r="F1" s="4"/>
    </x:row>
    <x:row r="2" ht="31.5" customHeight="1">
      <x:c r="A2" s="5" t="str">
        <x:v>A named product is assessed, never the union of a vendor ecosystem. V3 rows are construction candidates.</x:v>
      </x:c>
      <x:c r="B2" s="5"/>
      <x:c r="C2" s="5"/>
      <x:c r="D2" s="5"/>
      <x:c r="E2" s="5"/>
      <x:c r="F2" s="5"/>
    </x:row>
    <x:row r="3" ht="7.5" customHeight="1">
      <x:c r="A3" s="3"/>
      <x:c r="B3" s="3"/>
      <x:c r="C3" s="3"/>
      <x:c r="D3" s="3"/>
      <x:c r="E3" s="3"/>
      <x:c r="F3" s="3"/>
    </x:row>
    <x:row r="4" ht="31.5" customHeight="1">
      <x:c r="A4" s="8" t="str">
        <x:v>Entry</x:v>
      </x:c>
      <x:c r="B4" s="8" t="str">
        <x:v>Candidate</x:v>
      </x:c>
      <x:c r="C4" s="8" t="str">
        <x:v>Declared class</x:v>
      </x:c>
      <x:c r="D4" s="8" t="str">
        <x:v>Selected scope / exclusions</x:v>
      </x:c>
      <x:c r="E4" s="8" t="str">
        <x:v>Version and status basis</x:v>
      </x:c>
      <x:c r="F4" s="8" t="str">
        <x:v>Outcome evidence boundary</x:v>
      </x:c>
    </x:row>
    <x:row r="5" ht="63" customHeight="1">
      <x:c r="A5" s="3" t="str">
        <x:v>ST25</x:v>
      </x:c>
      <x:c r="B5" s="3" t="str">
        <x:v>STDO 2.5.1-rc.2</x:v>
      </x:c>
      <x:c r="C5" s="3" t="str">
        <x:v>Specification method</x:v>
      </x:c>
      <x:c r="D5" s="3" t="str">
        <x:v>Installed immutable method and standards; optional profiles only when selected. Does not include every tenant implementation.</x:v>
      </x:c>
      <x:c r="E5" s="3" t="str">
        <x:v>v2.5.1-rc.2; manifest 3d860ff4c1746f06ac25295a9e205cffb8e7725869615ac77cf2304b70ff2782</x:v>
      </x:c>
      <x:c r="F5" s="3" t="str">
        <x:v>No controlled experiment established for the installed release in this review.</x:v>
      </x:c>
    </x:row>
    <x:row r="6" ht="63" customHeight="1">
      <x:c r="A6" s="3" t="str">
        <x:v>ST3C</x:v>
      </x:c>
      <x:c r="B6" s="3" t="str">
        <x:v>STDO v3 — Claude candidate</x:v>
      </x:c>
      <x:c r="C6" s="3" t="str">
        <x:v>Specification method candidate</x:v>
      </x:c>
      <x:c r="D6" s="3" t="str">
        <x:v>Pinned member-by-member candidate standards and named local qualification artifacts; not common v3 law or an adopted release.</x:v>
      </x:c>
      <x:c r="E6" s="3" t="str">
        <x:v>e1bcd802f2ebf3b695ef5f6e94780d3f00f29d0d</x:v>
      </x:c>
      <x:c r="F6" s="3" t="str">
        <x:v>Four frozen cold task starts with observed usage; output adequacy unassessed, no comparative effectiveness verdict.</x:v>
      </x:c>
    </x:row>
    <x:row r="7" ht="63" customHeight="1">
      <x:c r="A7" s="3" t="str">
        <x:v>ST3X</x:v>
      </x:c>
      <x:c r="B7" s="3" t="str">
        <x:v>STDO v3 — Codex candidate</x:v>
      </x:c>
      <x:c r="C7" s="3" t="str">
        <x:v>Specification method candidate</x:v>
      </x:c>
      <x:c r="D7" s="3" t="str">
        <x:v>Pinned standalone successor restatement, selected source-linked projections and local C3 reviews; no released or accepted v3 product.</x:v>
      </x:c>
      <x:c r="E7" s="3" t="str">
        <x:v>427a0deb39b7cd8e298b3b2ebc126c052f056d8a</x:v>
      </x:c>
      <x:c r="F7" s="3" t="str">
        <x:v>Selected independently judged fresh-use and mutation cases; bounded local evidence, no common control or whole-method qualification.</x:v>
      </x:c>
    </x:row>
    <x:row r="8" ht="63" customHeight="1">
      <x:c r="A8" s="3" t="str">
        <x:v>SPECKIT</x:v>
      </x:c>
      <x:c r="B8" s="3" t="str">
        <x:v>GitHub Spec Kit</x:v>
      </x:c>
      <x:c r="C8" s="3" t="str">
        <x:v>Specification method and process toolkit</x:v>
      </x:c>
      <x:c r="D8" s="3" t="str">
        <x:v>Core SDD commands and documented native workflow engine; external coding-agent enforcement and community extensions excluded.</x:v>
      </x:c>
      <x:c r="E8" s="3" t="str">
        <x:v>Rolling main-branch documentation and command templates accessed 2026-10-12; no installed version or runtime trial.</x:v>
      </x:c>
      <x:c r="F8" s="3" t="str">
        <x:v>Source-based capability inference only. Reviewed pages provide process documentation and examples; no common runtime experiment or measured whole-method superiority.</x:v>
      </x:c>
    </x:row>
    <x:row r="9" ht="63" customHeight="1">
      <x:c r="A9" s="3" t="str">
        <x:v>BMAD</x:v>
      </x:c>
      <x:c r="B9" s="3" t="str">
        <x:v>BMad Method v6.12.2</x:v>
      </x:c>
      <x:c r="C9" s="3" t="str">
        <x:v>Adaptive software-development method</x:v>
      </x:c>
      <x:c r="D9" s="3" t="str">
        <x:v>Core BMad Method and built-in QA at v6.12.2. Separate TEA, Loop, Builder and V7-preview capabilities excluded.</x:v>
      </x:c>
      <x:c r="E9" s="3" t="str">
        <x:v>Actual v6.12.2-tagged primary documentation read; annotated tag 0187f4a9437fc42450dc84c59e7be367ed38be22 resolves to commit 10db8f35bba515e4fbf0388c5bd59a6cc7a3e9c8. No installed/runtime validation.</x:v>
      </x:c>
      <x:c r="F9" s="3" t="str">
        <x:v>No external experiment performed. Tagged core docs offer method guidance and examples; their comparative review claims and suggested A/B testing are not measurements.</x:v>
      </x:c>
    </x:row>
    <x:row r="10" ht="63" customHeight="1">
      <x:c r="A10" s="3" t="str">
        <x:v>OPENSPEC</x:v>
      </x:c>
      <x:c r="B10" s="3" t="str">
        <x:v>Fission AI OpenSpec</x:v>
      </x:c>
      <x:c r="C10" s="3" t="str">
        <x:v>Lightweight specification workflow and CLI</x:v>
      </x:c>
      <x:c r="D10" s="3" t="str">
        <x:v>Native OPSX spec-driven workflow, CLI and supported customization; optional expanded verification distinguished from default core profile.</x:v>
      </x:c>
      <x:c r="E10" s="3" t="str">
        <x:v>Rolling main documentation accessed 2026-10-12; no installed package pin or runtime trial.</x:v>
      </x:c>
      <x:c r="F10" s="3" t="str">
        <x:v>Source-based inference only. Self-use and examples are documented; no matched experiment establishes workflow effectiveness or superiority.</x:v>
      </x:c>
    </x:row>
    <x:row r="11" ht="63" customHeight="1">
      <x:c r="A11" s="3" t="str">
        <x:v>CODEX</x:v>
      </x:c>
      <x:c r="B11" s="3" t="str">
        <x:v>OpenAI Codex</x:v>
      </x:c>
      <x:c r="C11" s="3" t="str">
        <x:v>coding workflow/harness</x:v>
      </x:c>
      <x:c r="D11" s="3" t="str">
        <x:v>Published Codex coding workflow and local CLI/app-server harness, including a named repair example. Excludes Agents SDK orchestration, Codex Security, hosted Agents API and model benchmark claims.</x:v>
      </x:c>
      <x:c r="E11" s="3" t="str">
        <x:v>Rolling official documentation accessed 2026-10-12; no installed/runtime version qualification. Repair recipe pins its own example CLI version.</x:v>
      </x:c>
      <x:c r="F11" s="3" t="str">
        <x:v>Current official source-based capability assessment only. No common runtime trial, ordinary-task measurements or matched framework controls were run.</x:v>
      </x:c>
    </x:row>
    <x:row r="12" ht="63" customHeight="1">
      <x:c r="A12" s="3" t="str">
        <x:v>CLAUDE</x:v>
      </x:c>
      <x:c r="B12" s="3" t="str">
        <x:v>Anthropic Claude Code</x:v>
      </x:c>
      <x:c r="C12" s="3" t="str">
        <x:v>coding workflow/harness</x:v>
      </x:c>
      <x:c r="D12" s="3" t="str">
        <x:v>Published Claude Code coding workflow and harness, including native subagents, permissions, checkpointing and monitoring. Excludes Managed Agents, Client SDK and Agent SDK-only integration claims.</x:v>
      </x:c>
      <x:c r="E12" s="3" t="str">
        <x:v>Rolling official documentation accessed 2026-10-12; no pinned installed CLI release or runtime qualification.</x:v>
      </x:c>
      <x:c r="F12" s="3" t="str">
        <x:v>Official mechanisms and published practice inspected. Internal-use claims are not a common ordinary-task experiment; no runtime measurements were run.</x:v>
      </x:c>
    </x:row>
    <x:row r="13" ht="63" customHeight="1">
      <x:c r="A13" s="3" t="str">
        <x:v>GEMINI</x:v>
      </x:c>
      <x:c r="B13" s="3" t="str">
        <x:v>Google Gemini CLI</x:v>
      </x:c>
      <x:c r="C13" s="3" t="str">
        <x:v>coding workflow/harness</x:v>
      </x:c>
      <x:c r="D13" s="3" t="str">
        <x:v>Official Gemini CLI planning/coding harness, native subagents, policy engine, checkpoints, telemetry and skills. Excludes ADK, Gemini API-only features and model benchmarks.</x:v>
      </x:c>
      <x:c r="E13" s="3" t="str">
        <x:v>Rolling official documentation accessed 2026-10-12; no pinned installed CLI version or runtime verification.</x:v>
      </x:c>
      <x:c r="F13" s="3" t="str">
        <x:v>Official documentation inspected. No CLI runtime experiment, measured ordinary-task outcomes or matched framework controls were run.</x:v>
      </x:c>
    </x:row>
    <x:row r="14" ht="76.5" customHeight="1">
      <x:c r="A14" s="3" t="str">
        <x:v>QWEN</x:v>
      </x:c>
      <x:c r="B14" s="3" t="str">
        <x:v>Qwen Code</x:v>
      </x:c>
      <x:c r="C14" s="3" t="str">
        <x:v>Coding-agent harness</x:v>
      </x:c>
      <x:c r="D14" s="3" t="str">
        <x:v>Qwen Code CLI/native Goals, review, subagents, skills and permission mechanisms; standalone Qwen model benchmarks and third-party ecosystem tools excluded.</x:v>
      </x:c>
      <x:c r="E14" s="3" t="str">
        <x:v>Rolling official docs/main accessed 2026-10-12; published SWE-bench comparison names CLI versions through 0.22.0. No installed/current-build pin or runtime trial.</x:v>
      </x:c>
      <x:c r="F14" s="3" t="str">
        <x:v>Official README reports 500 SWE-bench Verified tasks, three trials per named CLI version, with fixed Qwen 3.7 Max and specified limits. This supports bounded harness-version evidence, not model-independent or complete-method superiority. No experiment was run here.</x:v>
      </x:c>
    </x:row>
    <x:row r="15" ht="63" customHeight="1">
      <x:c r="A15" s="3" t="str">
        <x:v>OASDK</x:v>
      </x:c>
      <x:c r="B15" s="3" t="str">
        <x:v>OpenAI Agents SDK</x:v>
      </x:c>
      <x:c r="C15" s="3" t="str">
        <x:v>agent runtime SDK</x:v>
      </x:c>
      <x:c r="D15" s="3" t="str">
        <x:v>Code-first Agents SDK in application-owned Python/TypeScript processes. Includes officially documented SDK trace/evaluation integration; excludes Codex and managed Agents API capabilities.</x:v>
      </x:c>
      <x:c r="E15" s="3" t="str">
        <x:v>Rolling official documentation accessed 2026-10-12; no pinned SDK release or installed/runtime verification.</x:v>
      </x:c>
      <x:c r="F15" s="3" t="str">
        <x:v>Official SDK mechanisms and integration guidance inspected. No runtime trial or measured ordinary-task effectiveness was established.</x:v>
      </x:c>
    </x:row>
    <x:row r="16" ht="63" customHeight="1">
      <x:c r="A16" s="3" t="str">
        <x:v>CASDK</x:v>
      </x:c>
      <x:c r="B16" s="3" t="str">
        <x:v>Anthropic Claude Agent SDK</x:v>
      </x:c>
      <x:c r="C16" s="3" t="str">
        <x:v>agent runtime SDK</x:v>
      </x:c>
      <x:c r="D16" s="3" t="str">
        <x:v>Python/TypeScript programmable Claude Code agent in a process the application operates. Includes SDK-specific permissions, hooks, sessions, delegation and cost semantics; excludes Anthropic Managed Agents and Client SDK features.</x:v>
      </x:c>
      <x:c r="E16" s="3" t="str">
        <x:v>Rolling official SDK documentation accessed 2026-10-12; platform.claude.com documentation redirects to code.claude.com. No pinned installed release or runtime verification.</x:v>
      </x:c>
      <x:c r="F16" s="3" t="str">
        <x:v>Current official SDK mechanisms inspected. No runtime experiment, ordinary-task effectiveness measurement or matched framework controls were run.</x:v>
      </x:c>
    </x:row>
    <x:row r="17" ht="63" customHeight="1">
      <x:c r="A17" s="3" t="str">
        <x:v>ADK</x:v>
      </x:c>
      <x:c r="B17" s="3" t="str">
        <x:v>Google Agent Development Kit</x:v>
      </x:c>
      <x:c r="C17" s="3" t="str">
        <x:v>agent runtime SDK</x:v>
      </x:c>
      <x:c r="D17" s="3" t="str">
        <x:v>ADK framework and explicitly documented language-specific workflow, resumability, callback, evaluation and experimental skill capabilities. Excludes Gemini CLI and cloud platform mechanisms not included in these sources.</x:v>
      </x:c>
      <x:c r="E17" s="3" t="str">
        <x:v>Rolling official docs accessed 2026-10-12; google.github.io/adk-docs redirects to adk.dev. Page-specific language/version support retained; no installed release qualification.</x:v>
      </x:c>
      <x:c r="F17" s="3" t="str">
        <x:v>Current official capability sources inspected. Evaluation tooling and production claims were not treated as measured effectiveness; no ordinary-task experiment was run.</x:v>
      </x:c>
    </x:row>
    <x:row r="18" ht="63" customHeight="1">
      <x:c r="A18" s="3" t="str">
        <x:v>OPENHANDS</x:v>
      </x:c>
      <x:c r="B18" s="3" t="str">
        <x:v>OpenHands Software Agent SDK</x:v>
      </x:c>
      <x:c r="C18" s="3" t="str">
        <x:v>Software-development agent framework</x:v>
      </x:c>
      <x:c r="D18" s="3" t="str">
        <x:v>OpenHands SDK/default coding agent, native tools, conversations, workspaces and Agent Server. Canvas, automation, Cloud/Enterprise controls and third-party agents excluded.</x:v>
      </x:c>
      <x:c r="E18" s="3" t="str">
        <x:v>Rolling V1 SDK documentation/main repository accessed 2026-10-12; benchmark evidence refers to published SDK-linked configurations, not a pinned current build.</x:v>
      </x:c>
      <x:c r="F18" s="3" t="str">
        <x:v>Publisher reports measured OpenHands Index configurations, external discovery of Commit0 history leakage, a shallow-clone repair and changed rerun scores. This survey performed no experiment; model/configuration and benchmark scope limit interpretation.</x:v>
      </x:c>
    </x:row>
    <x:row r="19" ht="76.5" customHeight="1">
      <x:c r="A19" s="3" t="str">
        <x:v>LANGGRAPH</x:v>
      </x:c>
      <x:c r="B19" s="3" t="str">
        <x:v>LangGraph</x:v>
      </x:c>
      <x:c r="C19" s="3" t="str">
        <x:v>Open-source orchestration runtime</x:v>
      </x:c>
      <x:c r="D19" s="3" t="str">
        <x:v>Python OSS LangGraph graph/state/runtime and installable checkpointers. LangChain agents, Deep Agents harnesses, Agent Server hosting and LangSmith are separate products. LangSmith evaluation is credited only as an explicitly optional composition. Application authors retain semantic contracts and product adoption authority; STDO can govern work executed by this runtime.</x:v>
      </x:c>
      <x:c r="E19" s="3" t="str">
        <x:v>Live official OSS documentation and publisher repository accessed 2026-10-12. Checkpointer documentation identifies langgraph&gt;=1.2 for beta DeltaChannel and Graph API documents version-specific migration limits. No installed package, tag-pinned trial or common runtime experiment was performed.</x:v>
      </x:c>
      <x:c r="F19" s="3" t="str">
        <x:v>Source-based mechanism assessment only. No common runtime trial or controlled framework-level outcome experiment was found in the inspected sources; C23 is U.</x:v>
      </x:c>
    </x:row>
    <x:row r="20" ht="103.5" customHeight="1">
      <x:c r="A20" s="3" t="str">
        <x:v>MAF</x:v>
      </x:c>
      <x:c r="B20" s="3" t="str">
        <x:v>Microsoft Agent Framework</x:v>
      </x:c>
      <x:c r="C20" s="3" t="str">
        <x:v>Open-source agent SDK and workflow runtime</x:v>
      </x:c>
      <x:c r="D20" s="3" t="str">
        <x:v>Current Microsoft Agent Framework Python/.NET agent and workflow APIs, skills, core evaluation and native OpenTelemetry. Opt-in FIDES is marked scoped; Foundry cloud evaluators/hosting are separate integrations. AutoGen and Semantic Kernel are migration predecessors, not a feature union. STDO could supply governing semantic obligations around this runtime. Experimental FIDES credit is direct Python-agent-tool scope only; .NET/CodeAct nested capabilities are excluded.</x:v>
      </x:c>
      <x:c r="E20" s="3" t="str">
        <x:v>Official live docs/repositories accessed 2026-10-12. AutoGen and Semantic Kernel READMEs identify MAF 1.0 as a production-ready successor; current checkpoint guide separately identifies Python 1.13.0 changes. AutoGen explicitly entered maintenance/community management. Semantic Kernel's 2025 publisher support statement promises critical/security fixes while most new investment moves to MAF; it is not the same community-maintenance claim. Both official migration guides were opened. No package installed or tag-pinned execution trial.</x:v>
      </x:c>
      <x:c r="F20" s="3" t="str">
        <x:v>Documentation and publisher-source assessment; no common installed-runtime trial or matched MAF outcome experiment. Predecessor research results were not transferred to MAF.</x:v>
      </x:c>
    </x:row>
    <x:row r="21" ht="63" customHeight="1">
      <x:c r="A21" s="3" t="str">
        <x:v>CREWAI</x:v>
      </x:c>
      <x:c r="B21" s="3" t="str">
        <x:v>CrewAI</x:v>
      </x:c>
      <x:c r="C21" s="3" t="str">
        <x:v>Open-source multi-agent framework and flow runtime</x:v>
      </x:c>
      <x:c r="D21" s="3" t="str">
        <x:v>OSS Python crews, agents, tasks, flows, skills, hooks, checkpointing and CLI testing. AMP visual builders, Enterprise hosting and external observability platforms are separate compositions and receive no blanket native credit. Application qualification and semantic authority may be supplied by STDO.</x:v>
      </x:c>
      <x:c r="E21" s="3" t="str">
        <x:v>Official concept/learn URLs redirected to v1.15.27 documentation on 2026-10-12. Publisher repository inspected for scope/license. This is a source-based current-docs comparison, not a pinned package execution trial.</x:v>
      </x:c>
      <x:c r="F21" s="3" t="str">
        <x:v>Current published mechanisms and examples only. CLI evaluation availability receives C21 credit; sample score tables do not establish achieved framework effectiveness, so C23 is U.</x:v>
      </x:c>
    </x:row>
    <x:row r="22" ht="76.5" customHeight="1">
      <x:c r="A22" s="3" t="str">
        <x:v>PYDANTIC</x:v>
      </x:c>
      <x:c r="B22" s="3" t="str">
        <x:v>Pydantic AI</x:v>
      </x:c>
      <x:c r="C22" s="3" t="str">
        <x:v>Open-source typed agent runtime</x:v>
      </x:c>
      <x:c r="D22" s="3" t="str">
        <x:v>Core Pydantic AI agents, typed dependencies/output, capabilities, deferred tools, AgentSpecs, usage/instrumentation and published durable-engine integrations. Pydantic Evals is a separately installed composition; Logfire is an optional backend. pydantic-ai-harness Skills and its 0.x coding/research harnesses are explicitly outside native runtime scoring. STDO could govern semantics and qualification around these mechanisms.</x:v>
      </x:c>
      <x:c r="E22" s="3" t="str">
        <x:v>Live official docs and publisher repository accessed 2026-10-12. Official version policy identifies stable V2.0 released June 23, 2026; this packet follows current V2 documentation without claiming an exact installed minor version. Harness Skills separately documents a 0.x package and is not unioned into core.</x:v>
      </x:c>
      <x:c r="F22" s="3" t="str">
        <x:v>Published APIs/guidance only. No installed common-runtime trial or matched framework outcome experiment. Separate eval-package capabilities do not establish achieved effectiveness.</x:v>
      </x:c>
    </x:row>
  </x:sheetData>
  <x:mergeCells>
    <x:mergeCell ref="A1:F1"/>
    <x:mergeCell ref="A2:F2"/>
  </x:mergeCells>
  <x:pageMargins left="0.7" right="0.7" top="0.75" bottom="0.75" header="0.3" footer="0.3"/>
  <x:tableParts count="1">
    <x:tablePart xmlns:r="http://schemas.openxmlformats.org/officeDocument/2006/relationships" r:id="R199aff0c5d9142b9"/>
  </x:tableParts>
</x:worksheet>
</file>