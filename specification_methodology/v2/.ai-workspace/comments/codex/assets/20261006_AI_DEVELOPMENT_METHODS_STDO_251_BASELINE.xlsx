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81a96383f847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8cdedda500764bc0"/>
    <x:sheet xmlns:r="http://schemas.openxmlformats.org/officeDocument/2006/relationships" name="Criteria" sheetId="2" r:id="Rdeee20f60b3548bb"/>
    <x:sheet xmlns:r="http://schemas.openxmlformats.org/officeDocument/2006/relationships" name="Candidates" sheetId="3" r:id="R99d9ca72a4954bee"/>
    <x:sheet xmlns:r="http://schemas.openxmlformats.org/officeDocument/2006/relationships" name="Evidence" sheetId="4" r:id="R20954d43d10d41e7"/>
    <x:sheet xmlns:r="http://schemas.openxmlformats.org/officeDocument/2006/relationships" name="Sources" sheetId="5" r:id="R92bdb96a2a194104"/>
    <x:sheet xmlns:r="http://schemas.openxmlformats.org/officeDocument/2006/relationships" name="Standards" sheetId="6" r:id="Ra30f3ff1f8c64b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9">
    <x:font>
      <x:sz val="11"/>
      <x:name val="Carlito"/>
    </x:font>
    <x:font>
      <x:sz val="11"/>
      <x:color rgb="FF24313D"/>
      <x:name val="Helvetica Neue"/>
    </x:font>
    <x:font>
      <x:b/>
      <x:sz val="17"/>
      <x:color rgb="FF24313D"/>
      <x:name val="Helvetica Neue"/>
    </x:font>
    <x:font>
      <x:i/>
      <x:sz val="11"/>
      <x:color rgb="FF596673"/>
      <x:name val="Helvetica Neue"/>
    </x:font>
    <x:font>
      <x:b/>
      <x:sz val="11"/>
      <x:color rgb="FFFFFFFF"/>
      <x:name val="Helvetica Neue"/>
    </x:font>
    <x:font>
      <x:sz val="10"/>
      <x:color rgb="FF596673"/>
      <x:name val="Helvetica Neue"/>
    </x:font>
    <x:font>
      <x:sz val="12"/>
      <x:color rgb="FF24313D"/>
      <x:name val="Helvetica Neue"/>
    </x:font>
    <x:font>
      <x:b/>
      <x:sz val="11"/>
      <x:color rgb="FF24313D"/>
      <x:name val="Helvetica Neue"/>
    </x:font>
    <x:font>
      <x:sz val="11"/>
      <x:color rgb="FF355B76"/>
      <x:name val="Helvetica Neue"/>
    </x:font>
  </x:fonts>
  <x:fills count="4">
    <x:fill>
      <x:patternFill patternType="none"/>
    </x:fill>
    <x:fill>
      <x:patternFill patternType="gray125"/>
    </x:fill>
    <x:fill>
      <x:patternFill patternType="solid">
        <x:fgColor rgb="FF344250"/>
      </x:patternFill>
    </x:fill>
    <x:fill>
      <x:patternFill patternType="solid">
        <x:fgColor rgb="FF4F647F"/>
      </x:patternFill>
    </x:fill>
  </x:fills>
  <x:borders count="9">
    <x:border/>
    <x:border>
      <x:bottom style="thin">
        <x:color rgb="FFCBD3D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1E6E9"/>
      </x:bottom>
    </x:border>
    <x:border>
      <x:top style="thin">
        <x:color rgb="FFE1E6E9"/>
      </x:top>
      <x:bottom style="thin">
        <x:color rgb="FFE1E6E9"/>
      </x:bottom>
    </x:border>
    <x:border>
      <x:top style="thin">
        <x:color rgb="FFE1E6E9"/>
      </x:top>
    </x:border>
    <x:border>
      <x:top style="medium">
        <x:color rgb="FFBCC7CE"/>
      </x:top>
      <x:bottom style="thin">
        <x:color rgb="FFE1E6E9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2" fillId="0" borderId="1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200" fontId="1" fillId="0" borderId="5" xfId="0" applyNumberFormat="1" applyFont="1" applyFill="1" applyBorder="1" applyAlignment="1">
      <x:alignment vertical="top" wrapText="1"/>
    </x:xf>
    <x:xf numFmtId="200" fontId="1" fillId="0" borderId="6" xfId="0" applyNumberFormat="1" applyFont="1" applyFill="1" applyBorder="1" applyAlignment="1">
      <x:alignment vertical="top" wrapText="1"/>
    </x:xf>
    <x:xf numFmtId="200" fontId="1" fillId="0" borderId="7" xfId="0" applyNumberFormat="1" applyFont="1" applyFill="1" applyBorder="1" applyAlignment="1">
      <x:alignment vertical="top" wrapText="1"/>
    </x:xf>
    <x:xf numFmtId="200" fontId="1" fillId="0" borderId="5" xfId="0" applyNumberFormat="1" applyFont="1" applyFill="1" applyBorder="1" applyAlignment="1">
      <x:alignment horizontal="right" vertical="top" wrapText="1"/>
    </x:xf>
    <x:xf numFmtId="200" fontId="1" fillId="0" borderId="6" xfId="0" applyNumberFormat="1" applyFont="1" applyFill="1" applyBorder="1" applyAlignment="1">
      <x:alignment horizontal="right" vertical="top" wrapText="1"/>
    </x:xf>
    <x:xf numFmtId="200" fontId="1" fillId="0" borderId="7" xfId="0" applyNumberFormat="1" applyFont="1" applyFill="1" applyBorder="1" applyAlignment="1">
      <x:alignment horizontal="right" vertical="top" wrapText="1"/>
    </x:xf>
    <x:xf numFmtId="200" fontId="1" fillId="0" borderId="5" xfId="0" applyNumberFormat="1" applyFont="1" applyFill="1" applyBorder="1" applyAlignment="1">
      <x:alignment horizontal="right" vertical="center" wrapText="1"/>
    </x:xf>
    <x:xf numFmtId="200" fontId="1" fillId="0" borderId="6" xfId="0" applyNumberFormat="1" applyFont="1" applyFill="1" applyBorder="1" applyAlignment="1">
      <x:alignment horizontal="right" vertical="center" wrapText="1"/>
    </x:xf>
    <x:xf numFmtId="200" fontId="1" fillId="0" borderId="7" xfId="0" applyNumberFormat="1" applyFont="1" applyFill="1" applyBorder="1" applyAlignment="1">
      <x:alignment horizontal="right" vertical="center" wrapText="1"/>
    </x:xf>
    <x:xf numFmtId="200" fontId="6" fillId="0" borderId="5" xfId="0" applyNumberFormat="1" applyFont="1" applyFill="1" applyBorder="1" applyAlignment="1">
      <x:alignment horizontal="right" vertical="center" wrapText="1"/>
    </x:xf>
    <x:xf numFmtId="200" fontId="6" fillId="0" borderId="6" xfId="0" applyNumberFormat="1" applyFont="1" applyFill="1" applyBorder="1" applyAlignment="1">
      <x:alignment horizontal="right" vertical="center" wrapText="1"/>
    </x:xf>
    <x:xf numFmtId="200" fontId="6" fillId="0" borderId="7" xfId="0" applyNumberFormat="1" applyFont="1" applyFill="1" applyBorder="1" applyAlignment="1">
      <x:alignment horizontal="right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top" wrapText="1"/>
    </x:xf>
    <x:xf numFmtId="200" fontId="6" fillId="0" borderId="8" xfId="0" applyNumberFormat="1" applyFont="1" applyFill="1" applyBorder="1" applyAlignment="1">
      <x:alignment horizontal="right" vertical="center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7" fillId="0" borderId="8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201" fontId="1" fillId="0" borderId="5" xfId="0" applyNumberFormat="1" applyFont="1" applyFill="1" applyBorder="1" applyAlignment="1">
      <x:alignment vertical="top" wrapText="1"/>
    </x:xf>
    <x:xf numFmtId="201" fontId="1" fillId="0" borderId="6" xfId="0" applyNumberFormat="1" applyFont="1" applyFill="1" applyBorder="1" applyAlignment="1">
      <x:alignment vertical="top" wrapText="1"/>
    </x:xf>
    <x:xf numFmtId="201" fontId="1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color rgb="FF24313D"/>
      </x:font>
      <x:fill>
        <x:patternFill patternType="solid">
          <x:bgColor rgb="FFF0F2F3"/>
        </x:patternFill>
      </x:fill>
    </x:dxf>
    <x:dxf>
      <x:font>
        <x:color rgb="FF24313D"/>
      </x:font>
      <x:fill>
        <x:patternFill patternType="solid">
          <x:bgColor rgb="FFF8EFD8"/>
        </x:patternFill>
      </x:fill>
    </x:dxf>
    <x:dxf>
      <x:font>
        <x:color rgb="FF24313D"/>
      </x:font>
      <x:fill>
        <x:patternFill patternType="solid">
          <x:bgColor rgb="FFE4EEE3"/>
        </x:patternFill>
      </x:fill>
    </x:dxf>
    <x:dxf>
      <x:font>
        <x:color rgb="FF24313D"/>
      </x:font>
      <x:fill>
        <x:patternFill patternType="solid">
          <x:bgColor rgb="FFBED6C3"/>
        </x:patternFill>
      </x:fill>
    </x:dxf>
    <x:dxf>
      <x:font>
        <x:color rgb="FF576472"/>
      </x:font>
      <x:fill>
        <x:patternFill patternType="solid">
          <x:bgColor rgb="FFE4E8EC"/>
        </x:patternFill>
      </x:fill>
    </x:dxf>
    <x:dxf>
      <x:font>
        <x:color rgb="FF334D6A"/>
      </x:font>
      <x:fill>
        <x:patternFill patternType="solid">
          <x:bgColor rgb="FFE6EDF6"/>
        </x:patternFill>
      </x:fill>
    </x:dxf>
    <x:dxf>
      <x:font>
        <x:color rgb="FF765521"/>
      </x:font>
      <x:fill>
        <x:patternFill patternType="solid">
          <x:bgColor rgb="FFF7EA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ef603308aa4f74" /><Relationship Type="http://schemas.openxmlformats.org/officeDocument/2006/relationships/theme" Target="/xl/theme/theme1.xml" Id="R851c15a9cc3148c9" /><Relationship Type="http://schemas.openxmlformats.org/officeDocument/2006/relationships/sharedStrings" Target="/xl/sharedStrings.xml" Id="R81a98600cc5d42b9" /><Relationship Type="http://schemas.openxmlformats.org/officeDocument/2006/relationships/worksheet" Target="/xl/worksheets/sheet1.xml" Id="R8cdedda500764bc0" /><Relationship Type="http://schemas.openxmlformats.org/officeDocument/2006/relationships/worksheet" Target="/xl/worksheets/sheet2.xml" Id="Rdeee20f60b3548bb" /><Relationship Type="http://schemas.openxmlformats.org/officeDocument/2006/relationships/worksheet" Target="/xl/worksheets/sheet3.xml" Id="R99d9ca72a4954bee" /><Relationship Type="http://schemas.openxmlformats.org/officeDocument/2006/relationships/worksheet" Target="/xl/worksheets/sheet4.xml" Id="R20954d43d10d41e7" /><Relationship Type="http://schemas.openxmlformats.org/officeDocument/2006/relationships/worksheet" Target="/xl/worksheets/sheet5.xml" Id="R92bdb96a2a194104" /><Relationship Type="http://schemas.openxmlformats.org/officeDocument/2006/relationships/worksheet" Target="/xl/worksheets/sheet6.xml" Id="Ra30f3ff1f8c64b16" /></Relationships>
</file>

<file path=xl/tables/table1.xml><?xml version="1.0" encoding="utf-8"?>
<x:table xmlns:x="http://schemas.openxmlformats.org/spreadsheetml/2006/main" id="1" name="MatrixTable" displayName="MatrixTable" ref="A5:Q35" headerRowCount="1" totalsRowCount="0" totalsRowShown="0">
  <x:autoFilter ref="A5:Q35"/>
  <x:tableColumns count="17">
    <x:tableColumn id="1" name="Feature ID"/>
    <x:tableColumn id="2" name="Feature"/>
    <x:tableColumn id="3" name="STDO 2.5.1 RC2&#10;STDO"/>
    <x:tableColumn id="4" name="Codex workflow&#10;OpenAI"/>
    <x:tableColumn id="5" name="Claude Code workflow&#10;Anthropic"/>
    <x:tableColumn id="6" name="Antigravity 2.0&#10;Google"/>
    <x:tableColumn id="7" name="GitHub Spec Kit&#10;GitHub / Microsoft"/>
    <x:tableColumn id="8" name="Kiro specs/workflows&#10;Amazon / Kiro"/>
    <x:tableColumn id="9" name="BMad Method&#10;BMad Code"/>
    <x:tableColumn id="10" name="OpenSpec / OPSX&#10;Fission AI"/>
    <x:tableColumn id="11" name="Qwen Code&#10;Alibaba / Qwen"/>
    <x:tableColumn id="12" name="CodeBuddy workflows&#10;Tencent"/>
    <x:tableColumn id="13" name="TRAE Chinese workflows&#10;TRAE"/>
    <x:tableColumn id="14" name="MetaGPT&#10;FoundationAgents / research"/>
    <x:tableColumn id="15" name="ChatDev 2.0 / DevAll&#10;OpenBMB / research"/>
    <x:tableColumn id="16" name="Agentless&#10;OpenAutoCoder / research"/>
    <x:tableColumn id="17" name="STDO 3.0&#10;Draft targe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CriteriaTable" displayName="CriteriaTable" ref="A5:F55" headerRowCount="1" totalsRowCount="0" totalsRowShown="0">
  <x:autoFilter ref="A5:F55"/>
  <x:tableColumns count="6">
    <x:tableColumn id="1" name="Record"/>
    <x:tableColumn id="2" name="Code"/>
    <x:tableColumn id="3" name="Feature / meaning"/>
    <x:tableColumn id="4" name="Definition / limit"/>
    <x:tableColumn id="5" name="Group"/>
    <x:tableColumn id="6" name="STDO 3.0 target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4" name="CandidatesTable" displayName="CandidatesTable" ref="A5:I19" headerRowCount="1" totalsRowCount="0" totalsRowShown="0">
  <x:autoFilter ref="A5:I19"/>
  <x:tableColumns count="9">
    <x:tableColumn id="1" name="Method ID"/>
    <x:tableColumn id="2" name="Method"/>
    <x:tableColumn id="3" name="Provider"/>
    <x:tableColumn id="4" name="Candidate kind"/>
    <x:tableColumn id="5" name="Published scope"/>
    <x:tableColumn id="6" name="Prescribed sequence"/>
    <x:tableColumn id="7" name="Version / source cut"/>
    <x:tableColumn id="8" name="Source IDs"/>
    <x:tableColumn id="9" name="Source URLs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5" name="EvidenceTable" displayName="EvidenceTable" ref="A5:I425" headerRowCount="1" totalsRowCount="0" totalsRowShown="0">
  <x:autoFilter ref="A5:I425"/>
  <x:tableColumns count="9">
    <x:tableColumn id="1" name="Feature ID"/>
    <x:tableColumn id="2" name="Method ID"/>
    <x:tableColumn id="3" name="Current rating"/>
    <x:tableColumn id="4" name="Feature"/>
    <x:tableColumn id="5" name="Method"/>
    <x:tableColumn id="6" name="Assessment reason"/>
    <x:tableColumn id="7" name="Assessment basis"/>
    <x:tableColumn id="8" name="Source IDs"/>
    <x:tableColumn id="9" name="Source URLs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3" name="SourcesTable" displayName="SourcesTable" ref="A5:F66" headerRowCount="1" totalsRowCount="0" totalsRowShown="0">
  <x:autoFilter ref="A5:F66"/>
  <x:tableColumns count="6">
    <x:tableColumn id="1" name="Source ID"/>
    <x:tableColumn id="2" name="Publisher"/>
    <x:tableColumn id="3" name="Title"/>
    <x:tableColumn id="4" name="URL"/>
    <x:tableColumn id="5" name="Source basis / cut"/>
    <x:tableColumn id="6" name="Accesse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StandardsTable" displayName="StandardsTable" ref="A5:F19" headerRowCount="1" totalsRowCount="0" totalsRowShown="0">
  <x:autoFilter ref="A5:F19"/>
  <x:tableColumns count="6">
    <x:tableColumn id="1" name="Standard / reference"/>
    <x:tableColumn id="2" name="Kind"/>
    <x:tableColumn id="3" name="Current status"/>
    <x:tableColumn id="4" name="Published scope"/>
    <x:tableColumn id="5" name="Relationship to AI-driven development"/>
    <x:tableColumn id="6" name="URL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5c3dbb44f342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2666a9734841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8346fa089434f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38dad8197e44e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3bd41d1230a49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366e4b41f944d9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220000267028809" hidden="0" customWidth="1"/>
    <x:col min="2" max="2" width="34.66999816894531" hidden="0" customWidth="1"/>
    <x:col min="3" max="3" width="15.220000267028809" hidden="0" customWidth="1"/>
    <x:col min="4" max="4" width="15.220000267028809" hidden="0" customWidth="1"/>
    <x:col min="5" max="5" width="15.220000267028809" hidden="0" customWidth="1"/>
    <x:col min="6" max="6" width="15.220000267028809" hidden="0" customWidth="1"/>
    <x:col min="7" max="7" width="15.220000267028809" hidden="0" customWidth="1"/>
    <x:col min="8" max="8" width="15.220000267028809" hidden="0" customWidth="1"/>
    <x:col min="9" max="9" width="15.220000267028809" hidden="0" customWidth="1"/>
    <x:col min="10" max="10" width="15.220000267028809" hidden="0" customWidth="1"/>
    <x:col min="11" max="11" width="15.220000267028809" hidden="0" customWidth="1"/>
    <x:col min="12" max="12" width="15.220000267028809" hidden="0" customWidth="1"/>
    <x:col min="13" max="13" width="15.220000267028809" hidden="0" customWidth="1"/>
    <x:col min="14" max="14" width="15.220000267028809" hidden="0" customWidth="1"/>
    <x:col min="15" max="15" width="15.220000267028809" hidden="0" customWidth="1"/>
    <x:col min="16" max="16" width="15.220000267028809" hidden="0" customWidth="1"/>
    <x:col min="17" max="17" width="14.109999656677246" hidden="0" customWidth="1"/>
  </x:cols>
  <x:sheetData>
    <x:row r="1" ht="23.25" customHeight="1">
      <x:c r="A1" s="7" t="str">
        <x:v>AI development methodologies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</x:row>
    <x:row r="2" ht="18" customHeight="1">
      <x:c r="A2" s="9" t="str">
        <x:v>Research cut: 2026-10-06. Current STDO 2.5.1 RC2; STDO 3.0 remains a draft target.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 ht="18" customHeight="1">
      <x:c r="A3" s="6" t="str">
        <x:v>Provisional analyst coverage: 0–3 or U. Draft targets: T or ?. Rubric and assessment limits are in Criteria. No aggregate ranking.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</x:row>
    <x:row r="4" ht="16.5" customHeight="1">
      <x:c r="A4" s="24" t="str">
        <x:v>Method ID</x:v>
      </x:c>
      <x:c r="B4" s="24" t="str"/>
      <x:c r="C4" s="25" t="str">
        <x:v>ST25</x:v>
      </x:c>
      <x:c r="D4" s="25" t="str">
        <x:v>CODEX</x:v>
      </x:c>
      <x:c r="E4" s="25" t="str">
        <x:v>CLAUDE</x:v>
      </x:c>
      <x:c r="F4" s="25" t="str">
        <x:v>GOOGLE</x:v>
      </x:c>
      <x:c r="G4" s="25" t="str">
        <x:v>SPECKIT</x:v>
      </x:c>
      <x:c r="H4" s="25" t="str">
        <x:v>KIRO</x:v>
      </x:c>
      <x:c r="I4" s="25" t="str">
        <x:v>BMAD</x:v>
      </x:c>
      <x:c r="J4" s="25" t="str">
        <x:v>OPENSPEC</x:v>
      </x:c>
      <x:c r="K4" s="25" t="str">
        <x:v>QWEN</x:v>
      </x:c>
      <x:c r="L4" s="25" t="str">
        <x:v>BUDDY</x:v>
      </x:c>
      <x:c r="M4" s="25" t="str">
        <x:v>TRAE</x:v>
      </x:c>
      <x:c r="N4" s="25" t="str">
        <x:v>METAGPT</x:v>
      </x:c>
      <x:c r="O4" s="25" t="str">
        <x:v>DEVALL</x:v>
      </x:c>
      <x:c r="P4" s="25" t="str">
        <x:v>AGENTLESS</x:v>
      </x:c>
      <x:c r="Q4" s="25" t="str">
        <x:v>ST30</x:v>
      </x:c>
    </x:row>
    <x:row r="5" ht="63" customHeight="1">
      <x:c r="A5" s="18" t="str">
        <x:v>Feature ID</x:v>
      </x:c>
      <x:c r="B5" s="19" t="str">
        <x:v>Feature</x:v>
      </x:c>
      <x:c r="C5" s="19" t="str">
        <x:v>STDO 2.5.1 RC2
STDO</x:v>
      </x:c>
      <x:c r="D5" s="19" t="str">
        <x:v>Codex workflow
OpenAI</x:v>
      </x:c>
      <x:c r="E5" s="19" t="str">
        <x:v>Claude Code workflow
Anthropic</x:v>
      </x:c>
      <x:c r="F5" s="19" t="str">
        <x:v>Antigravity 2.0
Google</x:v>
      </x:c>
      <x:c r="G5" s="19" t="str">
        <x:v>GitHub Spec Kit
GitHub / Microsoft</x:v>
      </x:c>
      <x:c r="H5" s="19" t="str">
        <x:v>Kiro specs/workflows
Amazon / Kiro</x:v>
      </x:c>
      <x:c r="I5" s="19" t="str">
        <x:v>BMad Method
BMad Code</x:v>
      </x:c>
      <x:c r="J5" s="19" t="str">
        <x:v>OpenSpec / OPSX
Fission AI</x:v>
      </x:c>
      <x:c r="K5" s="19" t="str">
        <x:v>Qwen Code
Alibaba / Qwen</x:v>
      </x:c>
      <x:c r="L5" s="19" t="str">
        <x:v>CodeBuddy workflows
Tencent</x:v>
      </x:c>
      <x:c r="M5" s="19" t="str">
        <x:v>TRAE Chinese workflows
TRAE</x:v>
      </x:c>
      <x:c r="N5" s="19" t="str">
        <x:v>MetaGPT
FoundationAgents / research</x:v>
      </x:c>
      <x:c r="O5" s="19" t="str">
        <x:v>ChatDev 2.0 / DevAll
OpenBMB / research</x:v>
      </x:c>
      <x:c r="P5" s="19" t="str">
        <x:v>Agentless
OpenAutoCoder / research</x:v>
      </x:c>
      <x:c r="Q5" s="38" t="str">
        <x:v>STDO 3.0
Draft target</x:v>
      </x:c>
    </x:row>
    <x:row r="6" ht="31.5" customHeight="1">
      <x:c r="A6" s="45" t="str">
        <x:v>F01</x:v>
      </x:c>
      <x:c r="B6" s="48" t="str">
        <x:v>Intent and success criteria</x:v>
      </x:c>
      <x:c r="C6" s="46" t="n">
        <x:v>3</x:v>
      </x:c>
      <x:c r="D6" s="46" t="n">
        <x:v>3</x:v>
      </x:c>
      <x:c r="E6" s="46" t="n">
        <x:v>3</x:v>
      </x:c>
      <x:c r="F6" s="46" t="n">
        <x:v>3</x:v>
      </x:c>
      <x:c r="G6" s="46" t="n">
        <x:v>3</x:v>
      </x:c>
      <x:c r="H6" s="46" t="n">
        <x:v>3</x:v>
      </x:c>
      <x:c r="I6" s="46" t="n">
        <x:v>3</x:v>
      </x:c>
      <x:c r="J6" s="46" t="n">
        <x:v>3</x:v>
      </x:c>
      <x:c r="K6" s="46" t="n">
        <x:v>3</x:v>
      </x:c>
      <x:c r="L6" s="46" t="n">
        <x:v>3</x:v>
      </x:c>
      <x:c r="M6" s="46" t="n">
        <x:v>3</x:v>
      </x:c>
      <x:c r="N6" s="46" t="n">
        <x:v>3</x:v>
      </x:c>
      <x:c r="O6" s="46" t="n">
        <x:v>2</x:v>
      </x:c>
      <x:c r="P6" s="46" t="n">
        <x:v>2</x:v>
      </x:c>
      <x:c r="Q6" s="47" t="str">
        <x:v>T</x:v>
      </x:c>
    </x:row>
    <x:row r="7" ht="31.5" customHeight="1">
      <x:c r="A7" s="22" t="str">
        <x:v>F02</x:v>
      </x:c>
      <x:c r="B7" s="22" t="str">
        <x:v>Product definition and scope</x:v>
      </x:c>
      <x:c r="C7" s="36" t="n">
        <x:v>3</x:v>
      </x:c>
      <x:c r="D7" s="36" t="n">
        <x:v>1</x:v>
      </x:c>
      <x:c r="E7" s="36" t="n">
        <x:v>1</x:v>
      </x:c>
      <x:c r="F7" s="36" t="n">
        <x:v>1</x:v>
      </x:c>
      <x:c r="G7" s="36" t="n">
        <x:v>2</x:v>
      </x:c>
      <x:c r="H7" s="36" t="n">
        <x:v>2</x:v>
      </x:c>
      <x:c r="I7" s="36" t="n">
        <x:v>3</x:v>
      </x:c>
      <x:c r="J7" s="36" t="n">
        <x:v>2</x:v>
      </x:c>
      <x:c r="K7" s="36" t="n">
        <x:v>1</x:v>
      </x:c>
      <x:c r="L7" s="36" t="n">
        <x:v>2</x:v>
      </x:c>
      <x:c r="M7" s="36" t="n">
        <x:v>2</x:v>
      </x:c>
      <x:c r="N7" s="36" t="n">
        <x:v>3</x:v>
      </x:c>
      <x:c r="O7" s="36" t="n">
        <x:v>1</x:v>
      </x:c>
      <x:c r="P7" s="36" t="n">
        <x:v>0</x:v>
      </x:c>
      <x:c r="Q7" s="43" t="str">
        <x:v>T</x:v>
      </x:c>
    </x:row>
    <x:row r="8" ht="31.5" customHeight="1">
      <x:c r="A8" s="22" t="str">
        <x:v>F03</x:v>
      </x:c>
      <x:c r="B8" s="22" t="str">
        <x:v>Requirements before construction</x:v>
      </x:c>
      <x:c r="C8" s="36" t="n">
        <x:v>3</x:v>
      </x:c>
      <x:c r="D8" s="36" t="n">
        <x:v>2</x:v>
      </x:c>
      <x:c r="E8" s="36" t="n">
        <x:v>3</x:v>
      </x:c>
      <x:c r="F8" s="36" t="n">
        <x:v>2</x:v>
      </x:c>
      <x:c r="G8" s="36" t="n">
        <x:v>3</x:v>
      </x:c>
      <x:c r="H8" s="36" t="n">
        <x:v>3</x:v>
      </x:c>
      <x:c r="I8" s="36" t="n">
        <x:v>3</x:v>
      </x:c>
      <x:c r="J8" s="36" t="n">
        <x:v>3</x:v>
      </x:c>
      <x:c r="K8" s="36" t="n">
        <x:v>2</x:v>
      </x:c>
      <x:c r="L8" s="36" t="n">
        <x:v>3</x:v>
      </x:c>
      <x:c r="M8" s="36" t="n">
        <x:v>3</x:v>
      </x:c>
      <x:c r="N8" s="36" t="n">
        <x:v>3</x:v>
      </x:c>
      <x:c r="O8" s="36" t="n">
        <x:v>2</x:v>
      </x:c>
      <x:c r="P8" s="36" t="n">
        <x:v>1</x:v>
      </x:c>
      <x:c r="Q8" s="43" t="str">
        <x:v>T</x:v>
      </x:c>
    </x:row>
    <x:row r="9" ht="31.5" customHeight="1">
      <x:c r="A9" s="22" t="str">
        <x:v>F04</x:v>
      </x:c>
      <x:c r="B9" s="22" t="str">
        <x:v>Design separated from requirements</x:v>
      </x:c>
      <x:c r="C9" s="36" t="n">
        <x:v>3</x:v>
      </x:c>
      <x:c r="D9" s="36" t="n">
        <x:v>2</x:v>
      </x:c>
      <x:c r="E9" s="36" t="n">
        <x:v>2</x:v>
      </x:c>
      <x:c r="F9" s="36" t="n">
        <x:v>2</x:v>
      </x:c>
      <x:c r="G9" s="36" t="n">
        <x:v>3</x:v>
      </x:c>
      <x:c r="H9" s="36" t="n">
        <x:v>3</x:v>
      </x:c>
      <x:c r="I9" s="36" t="n">
        <x:v>3</x:v>
      </x:c>
      <x:c r="J9" s="36" t="n">
        <x:v>3</x:v>
      </x:c>
      <x:c r="K9" s="36" t="n">
        <x:v>2</x:v>
      </x:c>
      <x:c r="L9" s="36" t="n">
        <x:v>3</x:v>
      </x:c>
      <x:c r="M9" s="36" t="n">
        <x:v>3</x:v>
      </x:c>
      <x:c r="N9" s="36" t="n">
        <x:v>3</x:v>
      </x:c>
      <x:c r="O9" s="36" t="n">
        <x:v>2</x:v>
      </x:c>
      <x:c r="P9" s="36" t="n">
        <x:v>0</x:v>
      </x:c>
      <x:c r="Q9" s="43" t="str">
        <x:v>T</x:v>
      </x:c>
    </x:row>
    <x:row r="10" ht="31.5" customHeight="1">
      <x:c r="A10" s="22" t="str">
        <x:v>F05</x:v>
      </x:c>
      <x:c r="B10" s="22" t="str">
        <x:v>Traceability across stages</x:v>
      </x:c>
      <x:c r="C10" s="36" t="n">
        <x:v>3</x:v>
      </x:c>
      <x:c r="D10" s="36" t="n">
        <x:v>2</x:v>
      </x:c>
      <x:c r="E10" s="36" t="n">
        <x:v>2</x:v>
      </x:c>
      <x:c r="F10" s="36" t="n">
        <x:v>2</x:v>
      </x:c>
      <x:c r="G10" s="36" t="n">
        <x:v>3</x:v>
      </x:c>
      <x:c r="H10" s="36" t="n">
        <x:v>3</x:v>
      </x:c>
      <x:c r="I10" s="36" t="n">
        <x:v>3</x:v>
      </x:c>
      <x:c r="J10" s="36" t="n">
        <x:v>3</x:v>
      </x:c>
      <x:c r="K10" s="36" t="n">
        <x:v>2</x:v>
      </x:c>
      <x:c r="L10" s="36" t="n">
        <x:v>2</x:v>
      </x:c>
      <x:c r="M10" s="36" t="n">
        <x:v>2</x:v>
      </x:c>
      <x:c r="N10" s="36" t="n">
        <x:v>3</x:v>
      </x:c>
      <x:c r="O10" s="36" t="n">
        <x:v>2</x:v>
      </x:c>
      <x:c r="P10" s="36" t="n">
        <x:v>2</x:v>
      </x:c>
      <x:c r="Q10" s="43" t="str">
        <x:v>T</x:v>
      </x:c>
    </x:row>
    <x:row r="11" ht="31.5" customHeight="1">
      <x:c r="A11" s="45" t="str">
        <x:v>F06</x:v>
      </x:c>
      <x:c r="B11" s="48" t="str">
        <x:v>Domain concepts and identity</x:v>
      </x:c>
      <x:c r="C11" s="46" t="n">
        <x:v>3</x:v>
      </x:c>
      <x:c r="D11" s="46" t="n">
        <x:v>0</x:v>
      </x:c>
      <x:c r="E11" s="46" t="n">
        <x:v>0</x:v>
      </x:c>
      <x:c r="F11" s="46" t="str">
        <x:v>U</x:v>
      </x:c>
      <x:c r="G11" s="46" t="n">
        <x:v>1</x:v>
      </x:c>
      <x:c r="H11" s="46" t="n">
        <x:v>2</x:v>
      </x:c>
      <x:c r="I11" s="46" t="n">
        <x:v>2</x:v>
      </x:c>
      <x:c r="J11" s="46" t="n">
        <x:v>2</x:v>
      </x:c>
      <x:c r="K11" s="46" t="str">
        <x:v>U</x:v>
      </x:c>
      <x:c r="L11" s="46" t="str">
        <x:v>U</x:v>
      </x:c>
      <x:c r="M11" s="46" t="n">
        <x:v>1</x:v>
      </x:c>
      <x:c r="N11" s="46" t="n">
        <x:v>1</x:v>
      </x:c>
      <x:c r="O11" s="46" t="n">
        <x:v>2</x:v>
      </x:c>
      <x:c r="P11" s="46" t="n">
        <x:v>1</x:v>
      </x:c>
      <x:c r="Q11" s="47" t="str">
        <x:v>T</x:v>
      </x:c>
    </x:row>
    <x:row r="12" ht="31.5" customHeight="1">
      <x:c r="A12" s="22" t="str">
        <x:v>F07</x:v>
      </x:c>
      <x:c r="B12" s="22" t="str">
        <x:v>Explicit inputs, outputs and contracts</x:v>
      </x:c>
      <x:c r="C12" s="36" t="n">
        <x:v>3</x:v>
      </x:c>
      <x:c r="D12" s="36" t="n">
        <x:v>2</x:v>
      </x:c>
      <x:c r="E12" s="36" t="n">
        <x:v>2</x:v>
      </x:c>
      <x:c r="F12" s="36" t="n">
        <x:v>2</x:v>
      </x:c>
      <x:c r="G12" s="36" t="n">
        <x:v>2</x:v>
      </x:c>
      <x:c r="H12" s="36" t="n">
        <x:v>2</x:v>
      </x:c>
      <x:c r="I12" s="36" t="n">
        <x:v>2</x:v>
      </x:c>
      <x:c r="J12" s="36" t="n">
        <x:v>2</x:v>
      </x:c>
      <x:c r="K12" s="36" t="n">
        <x:v>2</x:v>
      </x:c>
      <x:c r="L12" s="36" t="n">
        <x:v>2</x:v>
      </x:c>
      <x:c r="M12" s="36" t="n">
        <x:v>2</x:v>
      </x:c>
      <x:c r="N12" s="36" t="n">
        <x:v>2</x:v>
      </x:c>
      <x:c r="O12" s="36" t="n">
        <x:v>3</x:v>
      </x:c>
      <x:c r="P12" s="36" t="n">
        <x:v>2</x:v>
      </x:c>
      <x:c r="Q12" s="43" t="str">
        <x:v>T</x:v>
      </x:c>
    </x:row>
    <x:row r="13" ht="31.5" customHeight="1">
      <x:c r="A13" s="22" t="str">
        <x:v>F08</x:v>
      </x:c>
      <x:c r="B13" s="22" t="str">
        <x:v>Invariants and semantic constraints</x:v>
      </x:c>
      <x:c r="C13" s="36" t="n">
        <x:v>3</x:v>
      </x:c>
      <x:c r="D13" s="36" t="n">
        <x:v>2</x:v>
      </x:c>
      <x:c r="E13" s="36" t="n">
        <x:v>2</x:v>
      </x:c>
      <x:c r="F13" s="36" t="n">
        <x:v>2</x:v>
      </x:c>
      <x:c r="G13" s="36" t="n">
        <x:v>3</x:v>
      </x:c>
      <x:c r="H13" s="36" t="n">
        <x:v>3</x:v>
      </x:c>
      <x:c r="I13" s="36" t="n">
        <x:v>3</x:v>
      </x:c>
      <x:c r="J13" s="36" t="n">
        <x:v>3</x:v>
      </x:c>
      <x:c r="K13" s="36" t="n">
        <x:v>2</x:v>
      </x:c>
      <x:c r="L13" s="36" t="n">
        <x:v>2</x:v>
      </x:c>
      <x:c r="M13" s="36" t="n">
        <x:v>2</x:v>
      </x:c>
      <x:c r="N13" s="36" t="n">
        <x:v>2</x:v>
      </x:c>
      <x:c r="O13" s="36" t="n">
        <x:v>2</x:v>
      </x:c>
      <x:c r="P13" s="36" t="n">
        <x:v>2</x:v>
      </x:c>
      <x:c r="Q13" s="43" t="str">
        <x:v>T</x:v>
      </x:c>
    </x:row>
    <x:row r="14" ht="31.5" customHeight="1">
      <x:c r="A14" s="22" t="str">
        <x:v>F09</x:v>
      </x:c>
      <x:c r="B14" s="22" t="str">
        <x:v>Composition and formal reasoning</x:v>
      </x:c>
      <x:c r="C14" s="36" t="n">
        <x:v>3</x:v>
      </x:c>
      <x:c r="D14" s="36" t="n">
        <x:v>0</x:v>
      </x:c>
      <x:c r="E14" s="36" t="n">
        <x:v>0</x:v>
      </x:c>
      <x:c r="F14" s="36" t="n">
        <x:v>1</x:v>
      </x:c>
      <x:c r="G14" s="36" t="n">
        <x:v>2</x:v>
      </x:c>
      <x:c r="H14" s="36" t="n">
        <x:v>2</x:v>
      </x:c>
      <x:c r="I14" s="36" t="n">
        <x:v>1</x:v>
      </x:c>
      <x:c r="J14" s="36" t="n">
        <x:v>2</x:v>
      </x:c>
      <x:c r="K14" s="36" t="n">
        <x:v>1</x:v>
      </x:c>
      <x:c r="L14" s="36" t="str">
        <x:v>U</x:v>
      </x:c>
      <x:c r="M14" s="36" t="n">
        <x:v>1</x:v>
      </x:c>
      <x:c r="N14" s="36" t="n">
        <x:v>1</x:v>
      </x:c>
      <x:c r="O14" s="36" t="n">
        <x:v>2</x:v>
      </x:c>
      <x:c r="P14" s="36" t="n">
        <x:v>0</x:v>
      </x:c>
      <x:c r="Q14" s="43" t="str">
        <x:v>T</x:v>
      </x:c>
    </x:row>
    <x:row r="15" ht="31.5" customHeight="1">
      <x:c r="A15" s="45" t="str">
        <x:v>F10</x:v>
      </x:c>
      <x:c r="B15" s="48" t="str">
        <x:v>Relevant context selection</x:v>
      </x:c>
      <x:c r="C15" s="46" t="n">
        <x:v>3</x:v>
      </x:c>
      <x:c r="D15" s="46" t="n">
        <x:v>3</x:v>
      </x:c>
      <x:c r="E15" s="46" t="n">
        <x:v>3</x:v>
      </x:c>
      <x:c r="F15" s="46" t="n">
        <x:v>3</x:v>
      </x:c>
      <x:c r="G15" s="46" t="n">
        <x:v>3</x:v>
      </x:c>
      <x:c r="H15" s="46" t="n">
        <x:v>3</x:v>
      </x:c>
      <x:c r="I15" s="46" t="n">
        <x:v>3</x:v>
      </x:c>
      <x:c r="J15" s="46" t="n">
        <x:v>3</x:v>
      </x:c>
      <x:c r="K15" s="46" t="n">
        <x:v>3</x:v>
      </x:c>
      <x:c r="L15" s="46" t="n">
        <x:v>3</x:v>
      </x:c>
      <x:c r="M15" s="46" t="n">
        <x:v>3</x:v>
      </x:c>
      <x:c r="N15" s="46" t="n">
        <x:v>3</x:v>
      </x:c>
      <x:c r="O15" s="46" t="n">
        <x:v>3</x:v>
      </x:c>
      <x:c r="P15" s="46" t="n">
        <x:v>3</x:v>
      </x:c>
      <x:c r="Q15" s="47" t="str">
        <x:v>T</x:v>
      </x:c>
    </x:row>
    <x:row r="16" ht="31.5" customHeight="1">
      <x:c r="A16" s="22" t="str">
        <x:v>F11</x:v>
      </x:c>
      <x:c r="B16" s="22" t="str">
        <x:v>Attention fit and proportionality</x:v>
      </x:c>
      <x:c r="C16" s="36" t="n">
        <x:v>3</x:v>
      </x:c>
      <x:c r="D16" s="36" t="n">
        <x:v>2</x:v>
      </x:c>
      <x:c r="E16" s="36" t="n">
        <x:v>3</x:v>
      </x:c>
      <x:c r="F16" s="36" t="n">
        <x:v>2</x:v>
      </x:c>
      <x:c r="G16" s="36" t="n">
        <x:v>2</x:v>
      </x:c>
      <x:c r="H16" s="36" t="n">
        <x:v>3</x:v>
      </x:c>
      <x:c r="I16" s="36" t="n">
        <x:v>3</x:v>
      </x:c>
      <x:c r="J16" s="36" t="n">
        <x:v>2</x:v>
      </x:c>
      <x:c r="K16" s="36" t="n">
        <x:v>3</x:v>
      </x:c>
      <x:c r="L16" s="36" t="n">
        <x:v>3</x:v>
      </x:c>
      <x:c r="M16" s="36" t="n">
        <x:v>2</x:v>
      </x:c>
      <x:c r="N16" s="36" t="n">
        <x:v>2</x:v>
      </x:c>
      <x:c r="O16" s="36" t="n">
        <x:v>2</x:v>
      </x:c>
      <x:c r="P16" s="36" t="n">
        <x:v>3</x:v>
      </x:c>
      <x:c r="Q16" s="43" t="str">
        <x:v>T</x:v>
      </x:c>
    </x:row>
    <x:row r="17" ht="31.5" customHeight="1">
      <x:c r="A17" s="22" t="str">
        <x:v>F12</x:v>
      </x:c>
      <x:c r="B17" s="22" t="str">
        <x:v>Bounded probabilistic construction</x:v>
      </x:c>
      <x:c r="C17" s="36" t="n">
        <x:v>3</x:v>
      </x:c>
      <x:c r="D17" s="36" t="n">
        <x:v>3</x:v>
      </x:c>
      <x:c r="E17" s="36" t="n">
        <x:v>3</x:v>
      </x:c>
      <x:c r="F17" s="36" t="n">
        <x:v>3</x:v>
      </x:c>
      <x:c r="G17" s="36" t="n">
        <x:v>3</x:v>
      </x:c>
      <x:c r="H17" s="36" t="n">
        <x:v>3</x:v>
      </x:c>
      <x:c r="I17" s="36" t="n">
        <x:v>3</x:v>
      </x:c>
      <x:c r="J17" s="36" t="n">
        <x:v>3</x:v>
      </x:c>
      <x:c r="K17" s="36" t="n">
        <x:v>3</x:v>
      </x:c>
      <x:c r="L17" s="36" t="n">
        <x:v>3</x:v>
      </x:c>
      <x:c r="M17" s="36" t="n">
        <x:v>3</x:v>
      </x:c>
      <x:c r="N17" s="36" t="n">
        <x:v>3</x:v>
      </x:c>
      <x:c r="O17" s="36" t="n">
        <x:v>3</x:v>
      </x:c>
      <x:c r="P17" s="36" t="n">
        <x:v>3</x:v>
      </x:c>
      <x:c r="Q17" s="43" t="str">
        <x:v>T</x:v>
      </x:c>
    </x:row>
    <x:row r="18" ht="31.5" customHeight="1">
      <x:c r="A18" s="22" t="str">
        <x:v>F13</x:v>
      </x:c>
      <x:c r="B18" s="22" t="str">
        <x:v>Decomposition and recursive workflows</x:v>
      </x:c>
      <x:c r="C18" s="36" t="n">
        <x:v>3</x:v>
      </x:c>
      <x:c r="D18" s="36" t="n">
        <x:v>3</x:v>
      </x:c>
      <x:c r="E18" s="36" t="n">
        <x:v>3</x:v>
      </x:c>
      <x:c r="F18" s="36" t="n">
        <x:v>3</x:v>
      </x:c>
      <x:c r="G18" s="36" t="n">
        <x:v>3</x:v>
      </x:c>
      <x:c r="H18" s="36" t="n">
        <x:v>3</x:v>
      </x:c>
      <x:c r="I18" s="36" t="n">
        <x:v>3</x:v>
      </x:c>
      <x:c r="J18" s="36" t="n">
        <x:v>2</x:v>
      </x:c>
      <x:c r="K18" s="36" t="n">
        <x:v>3</x:v>
      </x:c>
      <x:c r="L18" s="36" t="n">
        <x:v>3</x:v>
      </x:c>
      <x:c r="M18" s="36" t="n">
        <x:v>3</x:v>
      </x:c>
      <x:c r="N18" s="36" t="n">
        <x:v>3</x:v>
      </x:c>
      <x:c r="O18" s="36" t="n">
        <x:v>3</x:v>
      </x:c>
      <x:c r="P18" s="36" t="n">
        <x:v>2</x:v>
      </x:c>
      <x:c r="Q18" s="43" t="str">
        <x:v>T</x:v>
      </x:c>
    </x:row>
    <x:row r="19" ht="31.5" customHeight="1">
      <x:c r="A19" s="22" t="str">
        <x:v>F14</x:v>
      </x:c>
      <x:c r="B19" s="22" t="str">
        <x:v>Durable state and resumption</x:v>
      </x:c>
      <x:c r="C19" s="36" t="n">
        <x:v>2</x:v>
      </x:c>
      <x:c r="D19" s="36" t="n">
        <x:v>3</x:v>
      </x:c>
      <x:c r="E19" s="36" t="n">
        <x:v>3</x:v>
      </x:c>
      <x:c r="F19" s="36" t="n">
        <x:v>3</x:v>
      </x:c>
      <x:c r="G19" s="36" t="n">
        <x:v>3</x:v>
      </x:c>
      <x:c r="H19" s="36" t="n">
        <x:v>3</x:v>
      </x:c>
      <x:c r="I19" s="36" t="n">
        <x:v>3</x:v>
      </x:c>
      <x:c r="J19" s="36" t="n">
        <x:v>3</x:v>
      </x:c>
      <x:c r="K19" s="36" t="n">
        <x:v>3</x:v>
      </x:c>
      <x:c r="L19" s="36" t="n">
        <x:v>3</x:v>
      </x:c>
      <x:c r="M19" s="36" t="n">
        <x:v>2</x:v>
      </x:c>
      <x:c r="N19" s="36" t="n">
        <x:v>3</x:v>
      </x:c>
      <x:c r="O19" s="36" t="n">
        <x:v>2</x:v>
      </x:c>
      <x:c r="P19" s="36" t="n">
        <x:v>1</x:v>
      </x:c>
      <x:c r="Q19" s="43" t="str">
        <x:v>T</x:v>
      </x:c>
    </x:row>
    <x:row r="20" ht="31.5" customHeight="1">
      <x:c r="A20" s="22" t="str">
        <x:v>F15</x:v>
      </x:c>
      <x:c r="B20" s="22" t="str">
        <x:v>Observation and next-action feedback</x:v>
      </x:c>
      <x:c r="C20" s="36" t="n">
        <x:v>3</x:v>
      </x:c>
      <x:c r="D20" s="36" t="n">
        <x:v>3</x:v>
      </x:c>
      <x:c r="E20" s="36" t="n">
        <x:v>3</x:v>
      </x:c>
      <x:c r="F20" s="36" t="n">
        <x:v>3</x:v>
      </x:c>
      <x:c r="G20" s="36" t="n">
        <x:v>3</x:v>
      </x:c>
      <x:c r="H20" s="36" t="n">
        <x:v>3</x:v>
      </x:c>
      <x:c r="I20" s="36" t="n">
        <x:v>3</x:v>
      </x:c>
      <x:c r="J20" s="36" t="n">
        <x:v>2</x:v>
      </x:c>
      <x:c r="K20" s="36" t="n">
        <x:v>3</x:v>
      </x:c>
      <x:c r="L20" s="36" t="n">
        <x:v>3</x:v>
      </x:c>
      <x:c r="M20" s="36" t="n">
        <x:v>3</x:v>
      </x:c>
      <x:c r="N20" s="36" t="n">
        <x:v>3</x:v>
      </x:c>
      <x:c r="O20" s="36" t="n">
        <x:v>3</x:v>
      </x:c>
      <x:c r="P20" s="36" t="n">
        <x:v>2</x:v>
      </x:c>
      <x:c r="Q20" s="43" t="str">
        <x:v>T</x:v>
      </x:c>
    </x:row>
    <x:row r="21" ht="31.5" customHeight="1">
      <x:c r="A21" s="22" t="str">
        <x:v>F16</x:v>
      </x:c>
      <x:c r="B21" s="22" t="str">
        <x:v>Uncertainty, stops and re-entry</x:v>
      </x:c>
      <x:c r="C21" s="36" t="n">
        <x:v>3</x:v>
      </x:c>
      <x:c r="D21" s="36" t="n">
        <x:v>3</x:v>
      </x:c>
      <x:c r="E21" s="36" t="n">
        <x:v>3</x:v>
      </x:c>
      <x:c r="F21" s="36" t="n">
        <x:v>2</x:v>
      </x:c>
      <x:c r="G21" s="36" t="n">
        <x:v>3</x:v>
      </x:c>
      <x:c r="H21" s="36" t="n">
        <x:v>3</x:v>
      </x:c>
      <x:c r="I21" s="36" t="n">
        <x:v>3</x:v>
      </x:c>
      <x:c r="J21" s="36" t="n">
        <x:v>2</x:v>
      </x:c>
      <x:c r="K21" s="36" t="n">
        <x:v>3</x:v>
      </x:c>
      <x:c r="L21" s="36" t="n">
        <x:v>2</x:v>
      </x:c>
      <x:c r="M21" s="36" t="n">
        <x:v>2</x:v>
      </x:c>
      <x:c r="N21" s="36" t="n">
        <x:v>2</x:v>
      </x:c>
      <x:c r="O21" s="36" t="n">
        <x:v>2</x:v>
      </x:c>
      <x:c r="P21" s="36" t="n">
        <x:v>2</x:v>
      </x:c>
      <x:c r="Q21" s="43" t="str">
        <x:v>T</x:v>
      </x:c>
    </x:row>
    <x:row r="22" ht="31.5" customHeight="1">
      <x:c r="A22" s="45" t="str">
        <x:v>F17</x:v>
      </x:c>
      <x:c r="B22" s="48" t="str">
        <x:v>Permissions and effect boundaries</x:v>
      </x:c>
      <x:c r="C22" s="46" t="n">
        <x:v>3</x:v>
      </x:c>
      <x:c r="D22" s="46" t="n">
        <x:v>3</x:v>
      </x:c>
      <x:c r="E22" s="46" t="n">
        <x:v>3</x:v>
      </x:c>
      <x:c r="F22" s="46" t="n">
        <x:v>3</x:v>
      </x:c>
      <x:c r="G22" s="46" t="n">
        <x:v>2</x:v>
      </x:c>
      <x:c r="H22" s="46" t="n">
        <x:v>2</x:v>
      </x:c>
      <x:c r="I22" s="46" t="n">
        <x:v>2</x:v>
      </x:c>
      <x:c r="J22" s="46" t="n">
        <x:v>1</x:v>
      </x:c>
      <x:c r="K22" s="46" t="n">
        <x:v>3</x:v>
      </x:c>
      <x:c r="L22" s="46" t="n">
        <x:v>3</x:v>
      </x:c>
      <x:c r="M22" s="46" t="n">
        <x:v>2</x:v>
      </x:c>
      <x:c r="N22" s="46" t="n">
        <x:v>1</x:v>
      </x:c>
      <x:c r="O22" s="46" t="n">
        <x:v>2</x:v>
      </x:c>
      <x:c r="P22" s="46" t="n">
        <x:v>1</x:v>
      </x:c>
      <x:c r="Q22" s="47" t="str">
        <x:v>T</x:v>
      </x:c>
    </x:row>
    <x:row r="23" ht="31.5" customHeight="1">
      <x:c r="A23" s="22" t="str">
        <x:v>F18</x:v>
      </x:c>
      <x:c r="B23" s="22" t="str">
        <x:v>Independent assessment</x:v>
      </x:c>
      <x:c r="C23" s="36" t="n">
        <x:v>3</x:v>
      </x:c>
      <x:c r="D23" s="36" t="n">
        <x:v>2</x:v>
      </x:c>
      <x:c r="E23" s="36" t="n">
        <x:v>2</x:v>
      </x:c>
      <x:c r="F23" s="36" t="n">
        <x:v>2</x:v>
      </x:c>
      <x:c r="G23" s="36" t="n">
        <x:v>3</x:v>
      </x:c>
      <x:c r="H23" s="36" t="n">
        <x:v>3</x:v>
      </x:c>
      <x:c r="I23" s="36" t="n">
        <x:v>3</x:v>
      </x:c>
      <x:c r="J23" s="36" t="n">
        <x:v>1</x:v>
      </x:c>
      <x:c r="K23" s="36" t="n">
        <x:v>2</x:v>
      </x:c>
      <x:c r="L23" s="36" t="n">
        <x:v>2</x:v>
      </x:c>
      <x:c r="M23" s="36" t="n">
        <x:v>2</x:v>
      </x:c>
      <x:c r="N23" s="36" t="n">
        <x:v>2</x:v>
      </x:c>
      <x:c r="O23" s="36" t="n">
        <x:v>2</x:v>
      </x:c>
      <x:c r="P23" s="36" t="n">
        <x:v>1</x:v>
      </x:c>
      <x:c r="Q23" s="43" t="str">
        <x:v>?</x:v>
      </x:c>
    </x:row>
    <x:row r="24" ht="31.5" customHeight="1">
      <x:c r="A24" s="22" t="str">
        <x:v>F19</x:v>
      </x:c>
      <x:c r="B24" s="22" t="str">
        <x:v>Operational and negative tests</x:v>
      </x:c>
      <x:c r="C24" s="36" t="n">
        <x:v>3</x:v>
      </x:c>
      <x:c r="D24" s="36" t="n">
        <x:v>3</x:v>
      </x:c>
      <x:c r="E24" s="36" t="n">
        <x:v>3</x:v>
      </x:c>
      <x:c r="F24" s="36" t="n">
        <x:v>2</x:v>
      </x:c>
      <x:c r="G24" s="36" t="n">
        <x:v>3</x:v>
      </x:c>
      <x:c r="H24" s="36" t="n">
        <x:v>3</x:v>
      </x:c>
      <x:c r="I24" s="36" t="n">
        <x:v>3</x:v>
      </x:c>
      <x:c r="J24" s="36" t="n">
        <x:v>2</x:v>
      </x:c>
      <x:c r="K24" s="36" t="n">
        <x:v>3</x:v>
      </x:c>
      <x:c r="L24" s="36" t="n">
        <x:v>3</x:v>
      </x:c>
      <x:c r="M24" s="36" t="n">
        <x:v>2</x:v>
      </x:c>
      <x:c r="N24" s="36" t="n">
        <x:v>3</x:v>
      </x:c>
      <x:c r="O24" s="36" t="n">
        <x:v>2</x:v>
      </x:c>
      <x:c r="P24" s="36" t="n">
        <x:v>3</x:v>
      </x:c>
      <x:c r="Q24" s="43" t="str">
        <x:v>?</x:v>
      </x:c>
    </x:row>
    <x:row r="25" ht="31.5" customHeight="1">
      <x:c r="A25" s="22" t="str">
        <x:v>F20</x:v>
      </x:c>
      <x:c r="B25" s="22" t="str">
        <x:v>Claim and evidence separation</x:v>
      </x:c>
      <x:c r="C25" s="36" t="n">
        <x:v>3</x:v>
      </x:c>
      <x:c r="D25" s="36" t="n">
        <x:v>2</x:v>
      </x:c>
      <x:c r="E25" s="36" t="n">
        <x:v>2</x:v>
      </x:c>
      <x:c r="F25" s="36" t="n">
        <x:v>1</x:v>
      </x:c>
      <x:c r="G25" s="36" t="n">
        <x:v>2</x:v>
      </x:c>
      <x:c r="H25" s="36" t="n">
        <x:v>2</x:v>
      </x:c>
      <x:c r="I25" s="36" t="n">
        <x:v>2</x:v>
      </x:c>
      <x:c r="J25" s="36" t="n">
        <x:v>2</x:v>
      </x:c>
      <x:c r="K25" s="36" t="n">
        <x:v>2</x:v>
      </x:c>
      <x:c r="L25" s="36" t="n">
        <x:v>2</x:v>
      </x:c>
      <x:c r="M25" s="36" t="n">
        <x:v>1</x:v>
      </x:c>
      <x:c r="N25" s="36" t="n">
        <x:v>2</x:v>
      </x:c>
      <x:c r="O25" s="36" t="n">
        <x:v>2</x:v>
      </x:c>
      <x:c r="P25" s="36" t="n">
        <x:v>2</x:v>
      </x:c>
      <x:c r="Q25" s="43" t="str">
        <x:v>T</x:v>
      </x:c>
    </x:row>
    <x:row r="26" ht="31.5" customHeight="1">
      <x:c r="A26" s="22" t="str">
        <x:v>F21</x:v>
      </x:c>
      <x:c r="B26" s="22" t="str">
        <x:v>Provenance and auditability</x:v>
      </x:c>
      <x:c r="C26" s="36" t="n">
        <x:v>3</x:v>
      </x:c>
      <x:c r="D26" s="36" t="n">
        <x:v>2</x:v>
      </x:c>
      <x:c r="E26" s="36" t="n">
        <x:v>2</x:v>
      </x:c>
      <x:c r="F26" s="36" t="n">
        <x:v>2</x:v>
      </x:c>
      <x:c r="G26" s="36" t="n">
        <x:v>3</x:v>
      </x:c>
      <x:c r="H26" s="36" t="n">
        <x:v>3</x:v>
      </x:c>
      <x:c r="I26" s="36" t="n">
        <x:v>3</x:v>
      </x:c>
      <x:c r="J26" s="36" t="n">
        <x:v>3</x:v>
      </x:c>
      <x:c r="K26" s="36" t="n">
        <x:v>3</x:v>
      </x:c>
      <x:c r="L26" s="36" t="n">
        <x:v>2</x:v>
      </x:c>
      <x:c r="M26" s="36" t="n">
        <x:v>2</x:v>
      </x:c>
      <x:c r="N26" s="36" t="n">
        <x:v>2</x:v>
      </x:c>
      <x:c r="O26" s="36" t="n">
        <x:v>3</x:v>
      </x:c>
      <x:c r="P26" s="36" t="n">
        <x:v>3</x:v>
      </x:c>
      <x:c r="Q26" s="43" t="str">
        <x:v>T</x:v>
      </x:c>
    </x:row>
    <x:row r="27" ht="31.5" customHeight="1">
      <x:c r="A27" s="22" t="str">
        <x:v>F22</x:v>
      </x:c>
      <x:c r="B27" s="22" t="str">
        <x:v>Change impact and specification revision</x:v>
      </x:c>
      <x:c r="C27" s="36" t="n">
        <x:v>3</x:v>
      </x:c>
      <x:c r="D27" s="36" t="n">
        <x:v>1</x:v>
      </x:c>
      <x:c r="E27" s="36" t="n">
        <x:v>1</x:v>
      </x:c>
      <x:c r="F27" s="36" t="n">
        <x:v>1</x:v>
      </x:c>
      <x:c r="G27" s="36" t="n">
        <x:v>2</x:v>
      </x:c>
      <x:c r="H27" s="36" t="n">
        <x:v>2</x:v>
      </x:c>
      <x:c r="I27" s="36" t="n">
        <x:v>2</x:v>
      </x:c>
      <x:c r="J27" s="36" t="n">
        <x:v>3</x:v>
      </x:c>
      <x:c r="K27" s="36" t="n">
        <x:v>1</x:v>
      </x:c>
      <x:c r="L27" s="36" t="n">
        <x:v>1</x:v>
      </x:c>
      <x:c r="M27" s="36" t="n">
        <x:v>1</x:v>
      </x:c>
      <x:c r="N27" s="36" t="str">
        <x:v>U</x:v>
      </x:c>
      <x:c r="O27" s="36" t="str">
        <x:v>U</x:v>
      </x:c>
      <x:c r="P27" s="36" t="n">
        <x:v>0</x:v>
      </x:c>
      <x:c r="Q27" s="43" t="str">
        <x:v>T</x:v>
      </x:c>
    </x:row>
    <x:row r="28" ht="31.5" customHeight="1">
      <x:c r="A28" s="45" t="str">
        <x:v>F23</x:v>
      </x:c>
      <x:c r="B28" s="48" t="str">
        <x:v>Versioned release and adoption</x:v>
      </x:c>
      <x:c r="C28" s="46" t="n">
        <x:v>3</x:v>
      </x:c>
      <x:c r="D28" s="46" t="n">
        <x:v>0</x:v>
      </x:c>
      <x:c r="E28" s="46" t="n">
        <x:v>0</x:v>
      </x:c>
      <x:c r="F28" s="46" t="str">
        <x:v>U</x:v>
      </x:c>
      <x:c r="G28" s="46" t="n">
        <x:v>2</x:v>
      </x:c>
      <x:c r="H28" s="46" t="str">
        <x:v>U</x:v>
      </x:c>
      <x:c r="I28" s="46" t="str">
        <x:v>U</x:v>
      </x:c>
      <x:c r="J28" s="46" t="n">
        <x:v>1</x:v>
      </x:c>
      <x:c r="K28" s="46" t="str">
        <x:v>U</x:v>
      </x:c>
      <x:c r="L28" s="46" t="str">
        <x:v>U</x:v>
      </x:c>
      <x:c r="M28" s="46" t="str">
        <x:v>U</x:v>
      </x:c>
      <x:c r="N28" s="46" t="str">
        <x:v>U</x:v>
      </x:c>
      <x:c r="O28" s="46" t="str">
        <x:v>U</x:v>
      </x:c>
      <x:c r="P28" s="46" t="n">
        <x:v>0</x:v>
      </x:c>
      <x:c r="Q28" s="47" t="str">
        <x:v>?</x:v>
      </x:c>
    </x:row>
    <x:row r="29" ht="31.5" customHeight="1">
      <x:c r="A29" s="22" t="str">
        <x:v>F24</x:v>
      </x:c>
      <x:c r="B29" s="22" t="str">
        <x:v>Reuse and extensibility</x:v>
      </x:c>
      <x:c r="C29" s="36" t="n">
        <x:v>3</x:v>
      </x:c>
      <x:c r="D29" s="36" t="n">
        <x:v>3</x:v>
      </x:c>
      <x:c r="E29" s="36" t="n">
        <x:v>3</x:v>
      </x:c>
      <x:c r="F29" s="36" t="n">
        <x:v>3</x:v>
      </x:c>
      <x:c r="G29" s="36" t="n">
        <x:v>3</x:v>
      </x:c>
      <x:c r="H29" s="36" t="n">
        <x:v>3</x:v>
      </x:c>
      <x:c r="I29" s="36" t="n">
        <x:v>3</x:v>
      </x:c>
      <x:c r="J29" s="36" t="n">
        <x:v>3</x:v>
      </x:c>
      <x:c r="K29" s="36" t="n">
        <x:v>3</x:v>
      </x:c>
      <x:c r="L29" s="36" t="n">
        <x:v>3</x:v>
      </x:c>
      <x:c r="M29" s="36" t="n">
        <x:v>3</x:v>
      </x:c>
      <x:c r="N29" s="36" t="n">
        <x:v>3</x:v>
      </x:c>
      <x:c r="O29" s="36" t="n">
        <x:v>3</x:v>
      </x:c>
      <x:c r="P29" s="36" t="n">
        <x:v>2</x:v>
      </x:c>
      <x:c r="Q29" s="43" t="str">
        <x:v>T</x:v>
      </x:c>
    </x:row>
    <x:row r="30" ht="31.5" customHeight="1">
      <x:c r="A30" s="22" t="str">
        <x:v>F25</x:v>
      </x:c>
      <x:c r="B30" s="22" t="str">
        <x:v>Process use beyond software</x:v>
      </x:c>
      <x:c r="C30" s="36" t="n">
        <x:v>3</x:v>
      </x:c>
      <x:c r="D30" s="36" t="n">
        <x:v>3</x:v>
      </x:c>
      <x:c r="E30" s="36" t="n">
        <x:v>3</x:v>
      </x:c>
      <x:c r="F30" s="36" t="n">
        <x:v>2</x:v>
      </x:c>
      <x:c r="G30" s="36" t="n">
        <x:v>3</x:v>
      </x:c>
      <x:c r="H30" s="36" t="n">
        <x:v>2</x:v>
      </x:c>
      <x:c r="I30" s="36" t="n">
        <x:v>2</x:v>
      </x:c>
      <x:c r="J30" s="36" t="n">
        <x:v>2</x:v>
      </x:c>
      <x:c r="K30" s="36" t="n">
        <x:v>2</x:v>
      </x:c>
      <x:c r="L30" s="36" t="n">
        <x:v>2</x:v>
      </x:c>
      <x:c r="M30" s="36" t="n">
        <x:v>2</x:v>
      </x:c>
      <x:c r="N30" s="36" t="n">
        <x:v>2</x:v>
      </x:c>
      <x:c r="O30" s="36" t="n">
        <x:v>3</x:v>
      </x:c>
      <x:c r="P30" s="36" t="n">
        <x:v>0</x:v>
      </x:c>
      <x:c r="Q30" s="43" t="str">
        <x:v>?</x:v>
      </x:c>
    </x:row>
    <x:row r="31" ht="31.5" customHeight="1">
      <x:c r="A31" s="22" t="str">
        <x:v>F26</x:v>
      </x:c>
      <x:c r="B31" s="22" t="str">
        <x:v>Self-application</x:v>
      </x:c>
      <x:c r="C31" s="36" t="n">
        <x:v>2</x:v>
      </x:c>
      <x:c r="D31" s="36" t="n">
        <x:v>1</x:v>
      </x:c>
      <x:c r="E31" s="36" t="n">
        <x:v>1</x:v>
      </x:c>
      <x:c r="F31" s="36" t="str">
        <x:v>U</x:v>
      </x:c>
      <x:c r="G31" s="36" t="n">
        <x:v>3</x:v>
      </x:c>
      <x:c r="H31" s="36" t="n">
        <x:v>1</x:v>
      </x:c>
      <x:c r="I31" s="36" t="str">
        <x:v>U</x:v>
      </x:c>
      <x:c r="J31" s="36" t="n">
        <x:v>3</x:v>
      </x:c>
      <x:c r="K31" s="36" t="str">
        <x:v>U</x:v>
      </x:c>
      <x:c r="L31" s="36" t="str">
        <x:v>U</x:v>
      </x:c>
      <x:c r="M31" s="36" t="str">
        <x:v>U</x:v>
      </x:c>
      <x:c r="N31" s="36" t="str">
        <x:v>U</x:v>
      </x:c>
      <x:c r="O31" s="36" t="str">
        <x:v>U</x:v>
      </x:c>
      <x:c r="P31" s="36" t="str">
        <x:v>U</x:v>
      </x:c>
      <x:c r="Q31" s="43" t="str">
        <x:v>T</x:v>
      </x:c>
    </x:row>
    <x:row r="32" ht="31.5" customHeight="1">
      <x:c r="A32" s="22" t="str">
        <x:v>F27</x:v>
      </x:c>
      <x:c r="B32" s="22" t="str">
        <x:v>AI-native method representation</x:v>
      </x:c>
      <x:c r="C32" s="36" t="n">
        <x:v>1</x:v>
      </x:c>
      <x:c r="D32" s="36" t="n">
        <x:v>2</x:v>
      </x:c>
      <x:c r="E32" s="36" t="n">
        <x:v>2</x:v>
      </x:c>
      <x:c r="F32" s="36" t="n">
        <x:v>2</x:v>
      </x:c>
      <x:c r="G32" s="36" t="n">
        <x:v>3</x:v>
      </x:c>
      <x:c r="H32" s="36" t="n">
        <x:v>3</x:v>
      </x:c>
      <x:c r="I32" s="36" t="n">
        <x:v>3</x:v>
      </x:c>
      <x:c r="J32" s="36" t="n">
        <x:v>3</x:v>
      </x:c>
      <x:c r="K32" s="36" t="n">
        <x:v>2</x:v>
      </x:c>
      <x:c r="L32" s="36" t="n">
        <x:v>2</x:v>
      </x:c>
      <x:c r="M32" s="36" t="n">
        <x:v>2</x:v>
      </x:c>
      <x:c r="N32" s="36" t="n">
        <x:v>1</x:v>
      </x:c>
      <x:c r="O32" s="36" t="n">
        <x:v>2</x:v>
      </x:c>
      <x:c r="P32" s="36" t="n">
        <x:v>1</x:v>
      </x:c>
      <x:c r="Q32" s="43" t="str">
        <x:v>T</x:v>
      </x:c>
    </x:row>
    <x:row r="33" ht="31.5" customHeight="1">
      <x:c r="A33" s="22" t="str">
        <x:v>F28</x:v>
      </x:c>
      <x:c r="B33" s="22" t="str">
        <x:v>Onboarding and reader guidance</x:v>
      </x:c>
      <x:c r="C33" s="36" t="n">
        <x:v>1</x:v>
      </x:c>
      <x:c r="D33" s="36" t="n">
        <x:v>3</x:v>
      </x:c>
      <x:c r="E33" s="36" t="n">
        <x:v>3</x:v>
      </x:c>
      <x:c r="F33" s="36" t="n">
        <x:v>3</x:v>
      </x:c>
      <x:c r="G33" s="36" t="n">
        <x:v>3</x:v>
      </x:c>
      <x:c r="H33" s="36" t="n">
        <x:v>3</x:v>
      </x:c>
      <x:c r="I33" s="36" t="n">
        <x:v>3</x:v>
      </x:c>
      <x:c r="J33" s="36" t="n">
        <x:v>3</x:v>
      </x:c>
      <x:c r="K33" s="36" t="n">
        <x:v>3</x:v>
      </x:c>
      <x:c r="L33" s="36" t="n">
        <x:v>3</x:v>
      </x:c>
      <x:c r="M33" s="36" t="n">
        <x:v>3</x:v>
      </x:c>
      <x:c r="N33" s="36" t="n">
        <x:v>2</x:v>
      </x:c>
      <x:c r="O33" s="36" t="n">
        <x:v>2</x:v>
      </x:c>
      <x:c r="P33" s="36" t="n">
        <x:v>2</x:v>
      </x:c>
      <x:c r="Q33" s="43" t="str">
        <x:v>?</x:v>
      </x:c>
    </x:row>
    <x:row r="34" ht="31.5" customHeight="1">
      <x:c r="A34" s="22" t="str">
        <x:v>F29</x:v>
      </x:c>
      <x:c r="B34" s="22" t="str">
        <x:v>Evidence of effectiveness</x:v>
      </x:c>
      <x:c r="C34" s="36" t="n">
        <x:v>1</x:v>
      </x:c>
      <x:c r="D34" s="36" t="n">
        <x:v>1</x:v>
      </x:c>
      <x:c r="E34" s="36" t="n">
        <x:v>1</x:v>
      </x:c>
      <x:c r="F34" s="36" t="str">
        <x:v>U</x:v>
      </x:c>
      <x:c r="G34" s="36" t="n">
        <x:v>1</x:v>
      </x:c>
      <x:c r="H34" s="36" t="n">
        <x:v>1</x:v>
      </x:c>
      <x:c r="I34" s="36" t="n">
        <x:v>1</x:v>
      </x:c>
      <x:c r="J34" s="36" t="n">
        <x:v>1</x:v>
      </x:c>
      <x:c r="K34" s="36" t="str">
        <x:v>U</x:v>
      </x:c>
      <x:c r="L34" s="36" t="str">
        <x:v>U</x:v>
      </x:c>
      <x:c r="M34" s="36" t="str">
        <x:v>U</x:v>
      </x:c>
      <x:c r="N34" s="36" t="n">
        <x:v>2</x:v>
      </x:c>
      <x:c r="O34" s="36" t="n">
        <x:v>2</x:v>
      </x:c>
      <x:c r="P34" s="36" t="n">
        <x:v>2</x:v>
      </x:c>
      <x:c r="Q34" s="43" t="str">
        <x:v>?</x:v>
      </x:c>
    </x:row>
    <x:row r="35" ht="31.5" customHeight="1">
      <x:c r="A35" s="23" t="str">
        <x:v>F30</x:v>
      </x:c>
      <x:c r="B35" s="23" t="str">
        <x:v>Work and resource measurement</x:v>
      </x:c>
      <x:c r="C35" s="37" t="n">
        <x:v>1</x:v>
      </x:c>
      <x:c r="D35" s="37" t="n">
        <x:v>2</x:v>
      </x:c>
      <x:c r="E35" s="37" t="n">
        <x:v>2</x:v>
      </x:c>
      <x:c r="F35" s="37" t="n">
        <x:v>1</x:v>
      </x:c>
      <x:c r="G35" s="37" t="n">
        <x:v>1</x:v>
      </x:c>
      <x:c r="H35" s="37" t="n">
        <x:v>2</x:v>
      </x:c>
      <x:c r="I35" s="37" t="n">
        <x:v>1</x:v>
      </x:c>
      <x:c r="J35" s="37" t="n">
        <x:v>1</x:v>
      </x:c>
      <x:c r="K35" s="37" t="n">
        <x:v>3</x:v>
      </x:c>
      <x:c r="L35" s="37" t="n">
        <x:v>1</x:v>
      </x:c>
      <x:c r="M35" s="37" t="str">
        <x:v>U</x:v>
      </x:c>
      <x:c r="N35" s="37" t="n">
        <x:v>3</x:v>
      </x:c>
      <x:c r="O35" s="37" t="n">
        <x:v>3</x:v>
      </x:c>
      <x:c r="P35" s="37" t="n">
        <x:v>3</x:v>
      </x:c>
      <x:c r="Q35" s="44" t="str">
        <x:v>?</x:v>
      </x:c>
    </x:row>
  </x:sheetData>
  <x:conditionalFormatting sqref="C6:P35">
    <x:cfRule type="cellIs" dxfId="0" priority="1" operator="equal">
      <x:formula>0</x:formula>
    </x:cfRule>
    <x:cfRule type="cellIs" dxfId="1" priority="2" operator="equal">
      <x:formula>1</x:formula>
    </x:cfRule>
    <x:cfRule type="cellIs" dxfId="2" priority="3" operator="equal">
      <x:formula>2</x:formula>
    </x:cfRule>
    <x:cfRule type="cellIs" dxfId="3" priority="4" operator="equal">
      <x:formula>3</x:formula>
    </x:cfRule>
    <x:cfRule type="containsText" dxfId="4" priority="5" operator="containsText" text="U"/>
  </x:conditionalFormatting>
  <x:conditionalFormatting sqref="Q6:Q35">
    <x:cfRule type="containsText" dxfId="5" priority="6" operator="containsText" text="T"/>
    <x:cfRule type="containsText" dxfId="6" priority="7" operator="containsText" text="?"/>
  </x:conditionalFormatting>
  <x:dataValidations count="2">
    <x:dataValidation type="list" sqref="C6:P35">
      <x:formula1>"0,1,2,3,U"</x:formula1>
    </x:dataValidation>
    <x:dataValidation type="list" sqref="Q6:Q35">
      <x:formula1>"T,?"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5c3dbb44f3421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.5600004196167" hidden="0" customWidth="1"/>
    <x:col min="2" max="2" width="8.5600004196167" hidden="0" customWidth="1"/>
    <x:col min="3" max="3" width="33.66999816894531" hidden="0" customWidth="1"/>
    <x:col min="4" max="4" width="74" hidden="0" customWidth="1"/>
    <x:col min="5" max="5" width="24.440000534057617" hidden="0" customWidth="1"/>
    <x:col min="6" max="6" width="13.890000343322754" hidden="0" customWidth="1"/>
  </x:cols>
  <x:sheetData>
    <x:row r="1" ht="23.25" customHeight="1">
      <x:c r="A1" s="7" t="str">
        <x:v>Criteria</x:v>
      </x:c>
      <x:c r="B1" s="8"/>
      <x:c r="C1" s="8"/>
      <x:c r="D1" s="8"/>
      <x:c r="E1" s="8"/>
      <x:c r="F1" s="8"/>
    </x:row>
    <x:row r="2" ht="18" customHeight="1">
      <x:c r="A2" s="9" t="str">
        <x:v>Coverage rubric, feature definitions and assessment limits.</x:v>
      </x:c>
      <x:c r="B2" s="6"/>
      <x:c r="C2" s="6"/>
      <x:c r="D2" s="6"/>
      <x:c r="E2" s="6"/>
      <x:c r="F2" s="6"/>
    </x:row>
    <x:row r="3" ht="18" customHeight="1">
      <x:c r="A3" s="6" t="str">
        <x:v>Reassess the supporting reason and sources when changing a rating. T/? entries describe draft direction, not achieved capability.</x:v>
      </x:c>
      <x:c r="B3" s="6"/>
      <x:c r="C3" s="6"/>
      <x:c r="D3" s="6"/>
      <x:c r="E3" s="6"/>
      <x:c r="F3" s="6"/>
    </x:row>
    <x:row r="4" ht="16.5" customHeight="1">
      <x:c r="A4" s="3"/>
      <x:c r="B4" s="3"/>
      <x:c r="C4" s="3"/>
      <x:c r="D4" s="3"/>
      <x:c r="E4" s="3"/>
      <x:c r="F4" s="3"/>
    </x:row>
    <x:row r="5" ht="42" customHeight="1">
      <x:c r="A5" s="18" t="str">
        <x:v>Record</x:v>
      </x:c>
      <x:c r="B5" s="19" t="str">
        <x:v>Code</x:v>
      </x:c>
      <x:c r="C5" s="19" t="str">
        <x:v>Feature / meaning</x:v>
      </x:c>
      <x:c r="D5" s="19" t="str">
        <x:v>Definition / limit</x:v>
      </x:c>
      <x:c r="E5" s="19" t="str">
        <x:v>Group</x:v>
      </x:c>
      <x:c r="F5" s="20" t="str">
        <x:v>STDO 3.0 target</x:v>
      </x:c>
    </x:row>
    <x:row r="6" ht="36" customHeight="1">
      <x:c r="A6" s="21" t="str">
        <x:v>Rubric</x:v>
      </x:c>
      <x:c r="B6" s="21" t="n">
        <x:v>3</x:v>
      </x:c>
      <x:c r="C6" s="21" t="str">
        <x:v>Strong explicit coverage</x:v>
      </x:c>
      <x:c r="D6" s="21" t="str">
        <x:v>First-class method capability with defined procedures, contracts or documented execution support.</x:v>
      </x:c>
      <x:c r="E6" s="21" t="str"/>
      <x:c r="F6" s="21" t="str"/>
    </x:row>
    <x:row r="7" ht="36" customHeight="1">
      <x:c r="A7" s="22" t="str">
        <x:v>Rubric</x:v>
      </x:c>
      <x:c r="B7" s="22" t="n">
        <x:v>2</x:v>
      </x:c>
      <x:c r="C7" s="22" t="str">
        <x:v>Explicit scoped coverage</x:v>
      </x:c>
      <x:c r="D7" s="22" t="str">
        <x:v>Repeatable process or supported configuration, with narrower or optional scope.</x:v>
      </x:c>
      <x:c r="E7" s="22" t="str"/>
      <x:c r="F7" s="22" t="str"/>
    </x:row>
    <x:row r="8" ht="36" customHeight="1">
      <x:c r="A8" s="22" t="str">
        <x:v>Rubric</x:v>
      </x:c>
      <x:c r="B8" s="22" t="n">
        <x:v>1</x:v>
      </x:c>
      <x:c r="C8" s="22" t="str">
        <x:v>Basic coverage</x:v>
      </x:c>
      <x:c r="D8" s="22" t="str">
        <x:v>Guidance, convention, limited example or partial implementation.</x:v>
      </x:c>
      <x:c r="E8" s="22" t="str"/>
      <x:c r="F8" s="22" t="str"/>
    </x:row>
    <x:row r="9" ht="36" customHeight="1">
      <x:c r="A9" s="22" t="str">
        <x:v>Rubric</x:v>
      </x:c>
      <x:c r="B9" s="22" t="n">
        <x:v>0</x:v>
      </x:c>
      <x:c r="C9" s="22" t="str">
        <x:v>Not prescribed</x:v>
      </x:c>
      <x:c r="D9" s="22" t="str">
        <x:v>Outside or not provided by the inspected published method; not an ecosystem-wide absence claim.</x:v>
      </x:c>
      <x:c r="E9" s="22" t="str"/>
      <x:c r="F9" s="22" t="str"/>
    </x:row>
    <x:row r="10" ht="36" customHeight="1">
      <x:c r="A10" s="22" t="str">
        <x:v>Rubric</x:v>
      </x:c>
      <x:c r="B10" s="22" t="str">
        <x:v>U</x:v>
      </x:c>
      <x:c r="C10" s="22" t="str">
        <x:v>Insufficient evidence</x:v>
      </x:c>
      <x:c r="D10" s="22" t="str">
        <x:v>Reviewed primary sources do not establish the property.</x:v>
      </x:c>
      <x:c r="E10" s="22" t="str"/>
      <x:c r="F10" s="22" t="str"/>
    </x:row>
    <x:row r="11" ht="36" customHeight="1">
      <x:c r="A11" s="22" t="str">
        <x:v>Rubric</x:v>
      </x:c>
      <x:c r="B11" s="22" t="str">
        <x:v>T</x:v>
      </x:c>
      <x:c r="C11" s="22" t="str">
        <x:v>Draft 3.0 target</x:v>
      </x:c>
      <x:c r="D11" s="22" t="str">
        <x:v>Intended capability in the working definition; not an achieved score.</x:v>
      </x:c>
      <x:c r="E11" s="22" t="str"/>
      <x:c r="F11" s="22" t="str"/>
    </x:row>
    <x:row r="12" ht="36" customHeight="1">
      <x:c r="A12" s="22" t="str">
        <x:v>Rubric</x:v>
      </x:c>
      <x:c r="B12" s="22" t="str">
        <x:v>?</x:v>
      </x:c>
      <x:c r="C12" s="22" t="str">
        <x:v>Open 3.0 decision</x:v>
      </x:c>
      <x:c r="D12" s="22" t="str">
        <x:v>Target capability, boundary or success criterion remains to be defined.</x:v>
      </x:c>
      <x:c r="E12" s="22" t="str"/>
      <x:c r="F12" s="22" t="str"/>
    </x:row>
    <x:row r="13" ht="36" customHeight="1">
      <x:c r="A13" s="22" t="str">
        <x:v>Feature</x:v>
      </x:c>
      <x:c r="B13" s="22" t="str">
        <x:v>F01</x:v>
      </x:c>
      <x:c r="C13" s="22" t="str">
        <x:v>Intent and success criteria</x:v>
      </x:c>
      <x:c r="D13" s="22" t="str">
        <x:v>The process establishes a desired outcome and observable success conditions.</x:v>
      </x:c>
      <x:c r="E13" s="22" t="str">
        <x:v>Purpose and specification</x:v>
      </x:c>
      <x:c r="F13" s="22" t="str">
        <x:v>T</x:v>
      </x:c>
    </x:row>
    <x:row r="14" ht="36" customHeight="1">
      <x:c r="A14" s="22" t="str">
        <x:v>Feature</x:v>
      </x:c>
      <x:c r="B14" s="22" t="str">
        <x:v>F02</x:v>
      </x:c>
      <x:c r="C14" s="22" t="str">
        <x:v>Product definition and scope</x:v>
      </x:c>
      <x:c r="D14" s="22" t="str">
        <x:v>The process records capabilities, users, boundaries and exclusions beyond a task prompt.</x:v>
      </x:c>
      <x:c r="E14" s="22" t="str">
        <x:v>Purpose and specification</x:v>
      </x:c>
      <x:c r="F14" s="22" t="str">
        <x:v>T</x:v>
      </x:c>
    </x:row>
    <x:row r="15" ht="36" customHeight="1">
      <x:c r="A15" s="22" t="str">
        <x:v>Feature</x:v>
      </x:c>
      <x:c r="B15" s="22" t="str">
        <x:v>F03</x:v>
      </x:c>
      <x:c r="C15" s="22" t="str">
        <x:v>Requirements before construction</x:v>
      </x:c>
      <x:c r="D15" s="22" t="str">
        <x:v>Requirements or a specification guide construction and can be clarified before implementation.</x:v>
      </x:c>
      <x:c r="E15" s="22" t="str">
        <x:v>Purpose and specification</x:v>
      </x:c>
      <x:c r="F15" s="22" t="str">
        <x:v>T</x:v>
      </x:c>
    </x:row>
    <x:row r="16" ht="36" customHeight="1">
      <x:c r="A16" s="22" t="str">
        <x:v>Feature</x:v>
      </x:c>
      <x:c r="B16" s="22" t="str">
        <x:v>F04</x:v>
      </x:c>
      <x:c r="C16" s="22" t="str">
        <x:v>Design separated from requirements</x:v>
      </x:c>
      <x:c r="D16" s="22" t="str">
        <x:v>Structural design and implementation choices are distinguished from required outcomes.</x:v>
      </x:c>
      <x:c r="E16" s="22" t="str">
        <x:v>Purpose and specification</x:v>
      </x:c>
      <x:c r="F16" s="22" t="str">
        <x:v>T</x:v>
      </x:c>
    </x:row>
    <x:row r="17" ht="36" customHeight="1">
      <x:c r="A17" s="22" t="str">
        <x:v>Feature</x:v>
      </x:c>
      <x:c r="B17" s="22" t="str">
        <x:v>F05</x:v>
      </x:c>
      <x:c r="C17" s="22" t="str">
        <x:v>Traceability across stages</x:v>
      </x:c>
      <x:c r="D17" s="22" t="str">
        <x:v>Requirements, design decisions, tasks, results and checks have recoverable connections.</x:v>
      </x:c>
      <x:c r="E17" s="22" t="str">
        <x:v>Purpose and specification</x:v>
      </x:c>
      <x:c r="F17" s="22" t="str">
        <x:v>T</x:v>
      </x:c>
    </x:row>
    <x:row r="18" ht="36" customHeight="1">
      <x:c r="A18" s="22" t="str">
        <x:v>Feature</x:v>
      </x:c>
      <x:c r="B18" s="22" t="str">
        <x:v>F06</x:v>
      </x:c>
      <x:c r="C18" s="22" t="str">
        <x:v>Domain concepts and identity</x:v>
      </x:c>
      <x:c r="D18" s="22" t="str">
        <x:v>The method defines contextual concepts, identity and ownership of meaning.</x:v>
      </x:c>
      <x:c r="E18" s="22" t="str">
        <x:v>Meaning and contracts</x:v>
      </x:c>
      <x:c r="F18" s="22" t="str">
        <x:v>T</x:v>
      </x:c>
    </x:row>
    <x:row r="19" ht="36" customHeight="1">
      <x:c r="A19" s="22" t="str">
        <x:v>Feature</x:v>
      </x:c>
      <x:c r="B19" s="22" t="str">
        <x:v>F07</x:v>
      </x:c>
      <x:c r="C19" s="22" t="str">
        <x:v>Explicit inputs, outputs and contracts</x:v>
      </x:c>
      <x:c r="D19" s="22" t="str">
        <x:v>Bounded work has declared inputs, prerequisites, outputs and acceptance or result contracts.</x:v>
      </x:c>
      <x:c r="E19" s="22" t="str">
        <x:v>Meaning and contracts</x:v>
      </x:c>
      <x:c r="F19" s="22" t="str">
        <x:v>T</x:v>
      </x:c>
    </x:row>
    <x:row r="20" ht="36" customHeight="1">
      <x:c r="A20" s="22" t="str">
        <x:v>Feature</x:v>
      </x:c>
      <x:c r="B20" s="22" t="str">
        <x:v>F08</x:v>
      </x:c>
      <x:c r="C20" s="22" t="str">
        <x:v>Invariants and semantic constraints</x:v>
      </x:c>
      <x:c r="D20" s="22" t="str">
        <x:v>The process states conditions that a valid construction must preserve.</x:v>
      </x:c>
      <x:c r="E20" s="22" t="str">
        <x:v>Meaning and contracts</x:v>
      </x:c>
      <x:c r="F20" s="22" t="str">
        <x:v>T</x:v>
      </x:c>
    </x:row>
    <x:row r="21" ht="36" customHeight="1">
      <x:c r="A21" s="22" t="str">
        <x:v>Feature</x:v>
      </x:c>
      <x:c r="B21" s="22" t="str">
        <x:v>F09</x:v>
      </x:c>
      <x:c r="C21" s="22" t="str">
        <x:v>Composition and formal reasoning</x:v>
      </x:c>
      <x:c r="D21" s="22" t="str">
        <x:v>Operations have explicit compatibility, composition or derivation laws beyond task sequencing.</x:v>
      </x:c>
      <x:c r="E21" s="22" t="str">
        <x:v>Meaning and contracts</x:v>
      </x:c>
      <x:c r="F21" s="22" t="str">
        <x:v>T</x:v>
      </x:c>
    </x:row>
    <x:row r="22" ht="36" customHeight="1">
      <x:c r="A22" s="22" t="str">
        <x:v>Feature</x:v>
      </x:c>
      <x:c r="B22" s="22" t="str">
        <x:v>F10</x:v>
      </x:c>
      <x:c r="C22" s="22" t="str">
        <x:v>Relevant context selection</x:v>
      </x:c>
      <x:c r="D22" s="22" t="str">
        <x:v>The process selects task-relevant sources and dependencies instead of relying on ambient memory.</x:v>
      </x:c>
      <x:c r="E22" s="22" t="str">
        <x:v>Bounded computation</x:v>
      </x:c>
      <x:c r="F22" s="22" t="str">
        <x:v>T</x:v>
      </x:c>
    </x:row>
    <x:row r="23" ht="36" customHeight="1">
      <x:c r="A23" s="22" t="str">
        <x:v>Feature</x:v>
      </x:c>
      <x:c r="B23" s="22" t="str">
        <x:v>F11</x:v>
      </x:c>
      <x:c r="C23" s="22" t="str">
        <x:v>Attention fit and proportionality</x:v>
      </x:c>
      <x:c r="D23" s="22" t="str">
        <x:v>Work is sized to actor/context capacity and additional process is justified by its benefit.</x:v>
      </x:c>
      <x:c r="E23" s="22" t="str">
        <x:v>Bounded computation</x:v>
      </x:c>
      <x:c r="F23" s="22" t="str">
        <x:v>T</x:v>
      </x:c>
    </x:row>
    <x:row r="24" ht="36" customHeight="1">
      <x:c r="A24" s="22" t="str">
        <x:v>Feature</x:v>
      </x:c>
      <x:c r="B24" s="22" t="str">
        <x:v>F12</x:v>
      </x:c>
      <x:c r="C24" s="22" t="str">
        <x:v>Bounded probabilistic construction</x:v>
      </x:c>
      <x:c r="D24" s="22" t="str">
        <x:v>AI reasoning operates within a defined task or traversal with explicit scope and results.</x:v>
      </x:c>
      <x:c r="E24" s="22" t="str">
        <x:v>Bounded computation</x:v>
      </x:c>
      <x:c r="F24" s="22" t="str">
        <x:v>T</x:v>
      </x:c>
    </x:row>
    <x:row r="25" ht="36" customHeight="1">
      <x:c r="A25" s="22" t="str">
        <x:v>Feature</x:v>
      </x:c>
      <x:c r="B25" s="22" t="str">
        <x:v>F13</x:v>
      </x:c>
      <x:c r="C25" s="22" t="str">
        <x:v>Decomposition and recursive workflows</x:v>
      </x:c>
      <x:c r="D25" s="22" t="str">
        <x:v>Larger work can be refined, delegated, branched and composed through bounded subtasks.</x:v>
      </x:c>
      <x:c r="E25" s="22" t="str">
        <x:v>Bounded computation</x:v>
      </x:c>
      <x:c r="F25" s="22" t="str">
        <x:v>T</x:v>
      </x:c>
    </x:row>
    <x:row r="26" ht="36" customHeight="1">
      <x:c r="A26" s="22" t="str">
        <x:v>Feature</x:v>
      </x:c>
      <x:c r="B26" s="22" t="str">
        <x:v>F14</x:v>
      </x:c>
      <x:c r="C26" s="22" t="str">
        <x:v>Durable state and resumption</x:v>
      </x:c>
      <x:c r="D26" s="22" t="str">
        <x:v>Work, decisions and progress can survive a session or actor change.</x:v>
      </x:c>
      <x:c r="E26" s="22" t="str">
        <x:v>Bounded computation</x:v>
      </x:c>
      <x:c r="F26" s="22" t="str">
        <x:v>T</x:v>
      </x:c>
    </x:row>
    <x:row r="27" ht="36" customHeight="1">
      <x:c r="A27" s="22" t="str">
        <x:v>Feature</x:v>
      </x:c>
      <x:c r="B27" s="22" t="str">
        <x:v>F15</x:v>
      </x:c>
      <x:c r="C27" s="22" t="str">
        <x:v>Observation and next-action feedback</x:v>
      </x:c>
      <x:c r="D27" s="22" t="str">
        <x:v>Observed results or gaps drive an explicit next action rather than blind repetition.</x:v>
      </x:c>
      <x:c r="E27" s="22" t="str">
        <x:v>Bounded computation</x:v>
      </x:c>
      <x:c r="F27" s="22" t="str">
        <x:v>T</x:v>
      </x:c>
    </x:row>
    <x:row r="28" ht="36" customHeight="1">
      <x:c r="A28" s="22" t="str">
        <x:v>Feature</x:v>
      </x:c>
      <x:c r="B28" s="22" t="str">
        <x:v>F16</x:v>
      </x:c>
      <x:c r="C28" s="22" t="str">
        <x:v>Uncertainty, stops and re-entry</x:v>
      </x:c>
      <x:c r="D28" s="22" t="str">
        <x:v>Ambiguity, insufficient evidence, blockers, partial progress and upstream revision have explicit treatment.</x:v>
      </x:c>
      <x:c r="E28" s="22" t="str">
        <x:v>Bounded computation</x:v>
      </x:c>
      <x:c r="F28" s="22" t="str">
        <x:v>T</x:v>
      </x:c>
    </x:row>
    <x:row r="29" ht="36" customHeight="1">
      <x:c r="A29" s="22" t="str">
        <x:v>Feature</x:v>
      </x:c>
      <x:c r="B29" s="22" t="str">
        <x:v>F17</x:v>
      </x:c>
      <x:c r="C29" s="22" t="str">
        <x:v>Permissions and effect boundaries</x:v>
      </x:c>
      <x:c r="D29" s="22" t="str">
        <x:v>Actions, tools and side effects are limited by declared authority or enforceable permissions.</x:v>
      </x:c>
      <x:c r="E29" s="22" t="str">
        <x:v>Evaluation and control</x:v>
      </x:c>
      <x:c r="F29" s="22" t="str">
        <x:v>T</x:v>
      </x:c>
    </x:row>
    <x:row r="30" ht="36" customHeight="1">
      <x:c r="A30" s="22" t="str">
        <x:v>Feature</x:v>
      </x:c>
      <x:c r="B30" s="22" t="str">
        <x:v>F18</x:v>
      </x:c>
      <x:c r="C30" s="22" t="str">
        <x:v>Independent assessment</x:v>
      </x:c>
      <x:c r="D30" s="22" t="str">
        <x:v>The process provides assessment with meaningful separation from construction.</x:v>
      </x:c>
      <x:c r="E30" s="22" t="str">
        <x:v>Evaluation and control</x:v>
      </x:c>
      <x:c r="F30" s="22" t="str">
        <x:v>?</x:v>
      </x:c>
    </x:row>
    <x:row r="31" ht="36" customHeight="1">
      <x:c r="A31" s="22" t="str">
        <x:v>Feature</x:v>
      </x:c>
      <x:c r="B31" s="22" t="str">
        <x:v>F19</x:v>
      </x:c>
      <x:c r="C31" s="22" t="str">
        <x:v>Operational and negative tests</x:v>
      </x:c>
      <x:c r="D31" s="22" t="str">
        <x:v>Checks address actual behavior, material failure cases and end-to-end outcomes where applicable.</x:v>
      </x:c>
      <x:c r="E31" s="22" t="str">
        <x:v>Evaluation and control</x:v>
      </x:c>
      <x:c r="F31" s="22" t="str">
        <x:v>?</x:v>
      </x:c>
    </x:row>
    <x:row r="32" ht="36" customHeight="1">
      <x:c r="A32" s="22" t="str">
        <x:v>Feature</x:v>
      </x:c>
      <x:c r="B32" s="22" t="str">
        <x:v>F20</x:v>
      </x:c>
      <x:c r="C32" s="22" t="str">
        <x:v>Claim and evidence separation</x:v>
      </x:c>
      <x:c r="D32" s="22" t="str">
        <x:v>Structural validity, observed behavior, semantic satisfaction and acceptance are distinguished.</x:v>
      </x:c>
      <x:c r="E32" s="22" t="str">
        <x:v>Evaluation and control</x:v>
      </x:c>
      <x:c r="F32" s="22" t="str">
        <x:v>T</x:v>
      </x:c>
    </x:row>
    <x:row r="33" ht="36" customHeight="1">
      <x:c r="A33" s="22" t="str">
        <x:v>Feature</x:v>
      </x:c>
      <x:c r="B33" s="22" t="str">
        <x:v>F21</x:v>
      </x:c>
      <x:c r="C33" s="22" t="str">
        <x:v>Provenance and auditability</x:v>
      </x:c>
      <x:c r="D33" s="22" t="str">
        <x:v>Results and judgments retain their subject, basis, origin and supporting observations.</x:v>
      </x:c>
      <x:c r="E33" s="22" t="str">
        <x:v>Evaluation and control</x:v>
      </x:c>
      <x:c r="F33" s="22" t="str">
        <x:v>T</x:v>
      </x:c>
    </x:row>
    <x:row r="34" ht="36" customHeight="1">
      <x:c r="A34" s="22" t="str">
        <x:v>Feature</x:v>
      </x:c>
      <x:c r="B34" s="22" t="str">
        <x:v>F22</x:v>
      </x:c>
      <x:c r="C34" s="22" t="str">
        <x:v>Change impact and specification revision</x:v>
      </x:c>
      <x:c r="D34" s="22" t="str">
        <x:v>Changed intent, requirements or evidence revise affected work while retaining valid unaffected results.</x:v>
      </x:c>
      <x:c r="E34" s="22" t="str">
        <x:v>Evaluation and control</x:v>
      </x:c>
      <x:c r="F34" s="22" t="str">
        <x:v>T</x:v>
      </x:c>
    </x:row>
    <x:row r="35" ht="36" customHeight="1">
      <x:c r="A35" s="22" t="str">
        <x:v>Feature</x:v>
      </x:c>
      <x:c r="B35" s="22" t="str">
        <x:v>F23</x:v>
      </x:c>
      <x:c r="C35" s="22" t="str">
        <x:v>Versioned release and adoption</x:v>
      </x:c>
      <x:c r="D35" s="22" t="str">
        <x:v>The method governs release identity, qualification and explicit adoption of a changed basis.</x:v>
      </x:c>
      <x:c r="E35" s="22" t="str">
        <x:v>Lifecycle and use</x:v>
      </x:c>
      <x:c r="F35" s="22" t="str">
        <x:v>?</x:v>
      </x:c>
    </x:row>
    <x:row r="36" ht="36" customHeight="1">
      <x:c r="A36" s="22" t="str">
        <x:v>Feature</x:v>
      </x:c>
      <x:c r="B36" s="22" t="str">
        <x:v>F24</x:v>
      </x:c>
      <x:c r="C36" s="22" t="str">
        <x:v>Reuse and extensibility</x:v>
      </x:c>
      <x:c r="D36" s="22" t="str">
        <x:v>Reusable operations, skills, roles or workflows can be adapted across projects and implementations.</x:v>
      </x:c>
      <x:c r="E36" s="22" t="str">
        <x:v>Lifecycle and use</x:v>
      </x:c>
      <x:c r="F36" s="22" t="str">
        <x:v>T</x:v>
      </x:c>
    </x:row>
    <x:row r="37" ht="36" customHeight="1">
      <x:c r="A37" s="22" t="str">
        <x:v>Feature</x:v>
      </x:c>
      <x:c r="B37" s="22" t="str">
        <x:v>F25</x:v>
      </x:c>
      <x:c r="C37" s="22" t="str">
        <x:v>Process use beyond software</x:v>
      </x:c>
      <x:c r="D37" s="22" t="str">
        <x:v>The published process is applicable to non-coding work, not merely developing an AI model.</x:v>
      </x:c>
      <x:c r="E37" s="22" t="str">
        <x:v>Lifecycle and use</x:v>
      </x:c>
      <x:c r="F37" s="22" t="str">
        <x:v>?</x:v>
      </x:c>
    </x:row>
    <x:row r="38" ht="36" customHeight="1">
      <x:c r="A38" s="22" t="str">
        <x:v>Feature</x:v>
      </x:c>
      <x:c r="B38" s="22" t="str">
        <x:v>F26</x:v>
      </x:c>
      <x:c r="C38" s="22" t="str">
        <x:v>Self-application</x:v>
      </x:c>
      <x:c r="D38" s="22" t="str">
        <x:v>The method is used to define, develop or improve itself; internal tool use alone is weaker evidence.</x:v>
      </x:c>
      <x:c r="E38" s="22" t="str">
        <x:v>Lifecycle and use</x:v>
      </x:c>
      <x:c r="F38" s="22" t="str">
        <x:v>T</x:v>
      </x:c>
    </x:row>
    <x:row r="39" ht="36" customHeight="1">
      <x:c r="A39" s="22" t="str">
        <x:v>Feature</x:v>
      </x:c>
      <x:c r="B39" s="22" t="str">
        <x:v>F27</x:v>
      </x:c>
      <x:c r="C39" s="22" t="str">
        <x:v>AI-native method representation</x:v>
      </x:c>
      <x:c r="D39" s="22" t="str">
        <x:v>An agent can acquire structured method context with stable source routes and targeted retrieval.</x:v>
      </x:c>
      <x:c r="E39" s="22" t="str">
        <x:v>Lifecycle and use</x:v>
      </x:c>
      <x:c r="F39" s="22" t="str">
        <x:v>T</x:v>
      </x:c>
    </x:row>
    <x:row r="40" ht="36" customHeight="1">
      <x:c r="A40" s="22" t="str">
        <x:v>Feature</x:v>
      </x:c>
      <x:c r="B40" s="22" t="str">
        <x:v>F28</x:v>
      </x:c>
      <x:c r="C40" s="22" t="str">
        <x:v>Onboarding and reader guidance</x:v>
      </x:c>
      <x:c r="D40" s="22" t="str">
        <x:v>Readers receive clear entry points, task guidance and worked examples.</x:v>
      </x:c>
      <x:c r="E40" s="22" t="str">
        <x:v>Lifecycle and use</x:v>
      </x:c>
      <x:c r="F40" s="22" t="str">
        <x:v>?</x:v>
      </x:c>
    </x:row>
    <x:row r="41" ht="36" customHeight="1">
      <x:c r="A41" s="22" t="str">
        <x:v>Feature</x:v>
      </x:c>
      <x:c r="B41" s="22" t="str">
        <x:v>F29</x:v>
      </x:c>
      <x:c r="C41" s="22" t="str">
        <x:v>Evidence of effectiveness</x:v>
      </x:c>
      <x:c r="D41" s="22" t="str">
        <x:v>Published observations or evaluations support the process, with the measured scope stated.</x:v>
      </x:c>
      <x:c r="E41" s="22" t="str">
        <x:v>Lifecycle and use</x:v>
      </x:c>
      <x:c r="F41" s="22" t="str">
        <x:v>?</x:v>
      </x:c>
    </x:row>
    <x:row r="42" ht="36" customHeight="1">
      <x:c r="A42" s="22" t="str">
        <x:v>Feature</x:v>
      </x:c>
      <x:c r="B42" s="22" t="str">
        <x:v>F30</x:v>
      </x:c>
      <x:c r="C42" s="22" t="str">
        <x:v>Work and resource measurement</x:v>
      </x:c>
      <x:c r="D42" s="22" t="str">
        <x:v>The process exposes work, token/time costs or budgets relevant to its claims.</x:v>
      </x:c>
      <x:c r="E42" s="22" t="str">
        <x:v>Lifecycle and use</x:v>
      </x:c>
      <x:c r="F42" s="22" t="str">
        <x:v>?</x:v>
      </x:c>
    </x:row>
    <x:row r="43" ht="39.75" customHeight="1">
      <x:c r="A43" s="22" t="str">
        <x:v>Limit</x:v>
      </x:c>
      <x:c r="B43" s="22" t="str">
        <x:v>L01</x:v>
      </x:c>
      <x:c r="C43" s="22" t="str"/>
      <x:c r="D43" s="22" t="str">
        <x:v>First-pass analyst assessment of documented method coverage as of 2026-10-06. Scores are editable and require further task-level validation.</x:v>
      </x:c>
      <x:c r="E43" s="22" t="str"/>
      <x:c r="F43" s="22" t="str"/>
    </x:row>
    <x:row r="44" ht="39.75" customHeight="1">
      <x:c r="A44" s="22" t="str">
        <x:v>Limit</x:v>
      </x:c>
      <x:c r="B44" s="22" t="str">
        <x:v>L02</x:v>
      </x:c>
      <x:c r="C44" s="22" t="str"/>
      <x:c r="D44" s="22" t="str">
        <x:v>A score does not certify semantic correctness, effectiveness, safety or operational qualification. Evidence of effectiveness has its own criterion.</x:v>
      </x:c>
      <x:c r="E44" s="22" t="str"/>
      <x:c r="F44" s="22" t="str"/>
    </x:row>
    <x:row r="45" ht="39.75" customHeight="1">
      <x:c r="A45" s="22" t="str">
        <x:v>Limit</x:v>
      </x:c>
      <x:c r="B45" s="22" t="str">
        <x:v>L03</x:v>
      </x:c>
      <x:c r="C45" s="22" t="str"/>
      <x:c r="D45" s="22" t="str">
        <x:v>Columns compare stated method scopes, not every possible capability of a provider ecosystem. Configurable review or checks are not automatically mandatory.</x:v>
      </x:c>
      <x:c r="E45" s="22" t="str"/>
      <x:c r="F45" s="22" t="str"/>
    </x:row>
    <x:row r="46" ht="39.75" customHeight="1">
      <x:c r="A46" s="22" t="str">
        <x:v>Limit</x:v>
      </x:c>
      <x:c r="B46" s="22" t="str">
        <x:v>L04</x:v>
      </x:c>
      <x:c r="C46" s="22" t="str"/>
      <x:c r="D46" s="22" t="str">
        <x:v>STDO 2.5.1 scores concern the verified RC2 documents. Consumer-owned runtimes and the partial a_c.text representation are distinguished from method law.</x:v>
      </x:c>
      <x:c r="E46" s="22" t="str"/>
      <x:c r="F46" s="22" t="str"/>
    </x:row>
    <x:row r="47" ht="36" customHeight="1">
      <x:c r="A47" s="22" t="str">
        <x:v>Limit</x:v>
      </x:c>
      <x:c r="B47" s="22" t="str">
        <x:v>L05</x:v>
      </x:c>
      <x:c r="C47" s="22" t="str"/>
      <x:c r="D47" s="22" t="str">
        <x:v>STDO 3.0 remains draft target direction. Its T/? entries do not enter numeric comparisons.</x:v>
      </x:c>
      <x:c r="E47" s="22" t="str"/>
      <x:c r="F47" s="22" t="str"/>
    </x:row>
    <x:row r="48" ht="39.75" customHeight="1">
      <x:c r="A48" s="22" t="str">
        <x:v>Limit</x:v>
      </x:c>
      <x:c r="B48" s="22" t="str">
        <x:v>L06</x:v>
      </x:c>
      <x:c r="C48" s="22" t="str"/>
      <x:c r="D48" s="22" t="str">
        <x:v>No aggregate winner or weighted total: priorities are not selected and method scopes differ. Agentless is a repair procedure, DevAll a general orchestrator.</x:v>
      </x:c>
      <x:c r="E48" s="22" t="str"/>
      <x:c r="F48" s="22" t="str"/>
    </x:row>
    <x:row r="49" ht="39.75" customHeight="1">
      <x:c r="A49" s="22" t="str">
        <x:v>Limit</x:v>
      </x:c>
      <x:c r="B49" s="22" t="str">
        <x:v>L07</x:v>
      </x:c>
      <x:c r="C49" s="22" t="str"/>
      <x:c r="D49" s="22" t="str">
        <x:v>Academic benchmark results use different tasks, models, versions and metrics. They are not a common head-to-head experiment.</x:v>
      </x:c>
      <x:c r="E49" s="22" t="str"/>
      <x:c r="F49" s="22" t="str"/>
    </x:row>
    <x:row r="50" ht="36" customHeight="1">
      <x:c r="A50" s="22" t="str">
        <x:v>Limit</x:v>
      </x:c>
      <x:c r="B50" s="22" t="str">
        <x:v>L08</x:v>
      </x:c>
      <x:c r="C50" s="22" t="str"/>
      <x:c r="D50" s="22" t="str">
        <x:v>OpenAI ExecPlans is archived. Anthropic earlier sprint-contract harness is not current universal best practice.</x:v>
      </x:c>
      <x:c r="E50" s="22" t="str"/>
      <x:c r="F50" s="22" t="str"/>
    </x:row>
    <x:row r="51" ht="36" customHeight="1">
      <x:c r="A51" s="22" t="str">
        <x:v>Limit</x:v>
      </x:c>
      <x:c r="B51" s="22" t="str">
        <x:v>L09</x:v>
      </x:c>
      <x:c r="C51" s="22" t="str"/>
      <x:c r="D51" s="22" t="str">
        <x:v>Spec Kit quickstart includes Converge although an illustrative workflow example still ends at Implement.</x:v>
      </x:c>
      <x:c r="E51" s="22" t="str"/>
      <x:c r="F51" s="22" t="str"/>
    </x:row>
    <x:row r="52" ht="39.75" customHeight="1">
      <x:c r="A52" s="22" t="str">
        <x:v>Limit</x:v>
      </x:c>
      <x:c r="B52" s="22" t="str">
        <x:v>L10</x:v>
      </x:c>
      <x:c r="C52" s="22" t="str"/>
      <x:c r="D52" s="22" t="str">
        <x:v>Qwen approval defaults conflict across its page; only available modes are credited. Its Goal verifier checks transcript evidence, not live files.</x:v>
      </x:c>
      <x:c r="E52" s="22" t="str"/>
      <x:c r="F52" s="22" t="str"/>
    </x:row>
    <x:row r="53" ht="39.75" customHeight="1">
      <x:c r="A53" s="22" t="str">
        <x:v>Limit</x:v>
      </x:c>
      <x:c r="B53" s="22" t="str">
        <x:v>L11</x:v>
      </x:c>
      <x:c r="C53" s="22" t="str"/>
      <x:c r="D53" s="22" t="str">
        <x:v>CodeBuddy Dynamic Workflows claims were not scored because source retrieval failed. TRAE Chinese workflows are not conflated with international branding.</x:v>
      </x:c>
      <x:c r="E53" s="22" t="str"/>
      <x:c r="F53" s="22" t="str"/>
    </x:row>
    <x:row r="54" ht="39.75" customHeight="1">
      <x:c r="A54" s="22" t="str">
        <x:v>Limit</x:v>
      </x:c>
      <x:c r="B54" s="22" t="str">
        <x:v>L12</x:v>
      </x:c>
      <x:c r="C54" s="22" t="str"/>
      <x:c r="D54" s="22" t="str">
        <x:v>ISO scope comes from public catalogue abstracts, not a paid clause-by-clause audit. Formal standards and protocols are listed separately.</x:v>
      </x:c>
      <x:c r="E54" s="22" t="str"/>
      <x:c r="F54" s="22" t="str"/>
    </x:row>
    <x:row r="55" ht="39.75" customHeight="1">
      <x:c r="A55" s="23" t="str">
        <x:v>Limit</x:v>
      </x:c>
      <x:c r="B55" s="23" t="str">
        <x:v>L13</x:v>
      </x:c>
      <x:c r="C55" s="23" t="str"/>
      <x:c r="D55" s="23" t="str">
        <x:v>Bounded independent audits corrected vendor and academic cells against the same criteria; optional patterns and unestablished release/revision claims were narrowed.</x:v>
      </x:c>
      <x:c r="E55" s="23" t="str"/>
      <x:c r="F55" s="23" t="str"/>
    </x:row>
  </x:sheetData>
  <x:pageMargins left="0.7" right="0.7" top="0.75" bottom="0.75" header="0.3" footer="0.3"/>
  <x:tableParts count="1">
    <x:tablePart xmlns:r="http://schemas.openxmlformats.org/officeDocument/2006/relationships" r:id="Re72666a97348416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.329999923706055" hidden="0" customWidth="1"/>
    <x:col min="2" max="2" width="28.889999389648438" hidden="0" customWidth="1"/>
    <x:col min="3" max="3" width="21.780000686645508" hidden="0" customWidth="1"/>
    <x:col min="4" max="4" width="35.439998626708984" hidden="0" customWidth="1"/>
    <x:col min="5" max="5" width="38.88999938964844" hidden="0" customWidth="1"/>
    <x:col min="6" max="6" width="65" hidden="0" customWidth="1"/>
    <x:col min="7" max="7" width="41.11000061035156" hidden="0" customWidth="1"/>
    <x:col min="8" max="8" width="17.559999465942383" hidden="0" customWidth="1"/>
    <x:col min="9" max="9" width="78.22000122070312" hidden="0" customWidth="1"/>
  </x:cols>
  <x:sheetData>
    <x:row r="1" ht="23.25" customHeight="1">
      <x:c r="A1" s="7" t="str">
        <x:v>Candidates</x:v>
      </x:c>
      <x:c r="B1" s="8"/>
      <x:c r="C1" s="8"/>
      <x:c r="D1" s="8"/>
      <x:c r="E1" s="8"/>
      <x:c r="F1" s="8"/>
      <x:c r="G1" s="8"/>
      <x:c r="H1" s="8"/>
      <x:c r="I1" s="8"/>
    </x:row>
    <x:row r="2" ht="18" customHeight="1">
      <x:c r="A2" s="9" t="str">
        <x:v>Published methods, workflows and frameworks retain their stated scopes.</x:v>
      </x:c>
      <x:c r="B2" s="6"/>
      <x:c r="C2" s="6"/>
      <x:c r="D2" s="6"/>
      <x:c r="E2" s="6"/>
      <x:c r="F2" s="6"/>
      <x:c r="G2" s="6"/>
      <x:c r="H2" s="6"/>
      <x:c r="I2" s="6"/>
    </x:row>
    <x:row r="3" ht="18" customHeight="1">
      <x:c r="A3" s="6" t="str">
        <x:v>Configuration support and optional checks are not universal obligations. Versions and source cuts are recorded for comparison.</x:v>
      </x:c>
      <x:c r="B3" s="6"/>
      <x:c r="C3" s="6"/>
      <x:c r="D3" s="6"/>
      <x:c r="E3" s="6"/>
      <x:c r="F3" s="6"/>
      <x:c r="G3" s="6"/>
      <x:c r="H3" s="6"/>
      <x:c r="I3" s="6"/>
    </x:row>
    <x:row r="4" ht="16.5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42" customHeight="1">
      <x:c r="A5" s="18" t="str">
        <x:v>Method ID</x:v>
      </x:c>
      <x:c r="B5" s="19" t="str">
        <x:v>Method</x:v>
      </x:c>
      <x:c r="C5" s="19" t="str">
        <x:v>Provider</x:v>
      </x:c>
      <x:c r="D5" s="19" t="str">
        <x:v>Candidate kind</x:v>
      </x:c>
      <x:c r="E5" s="19" t="str">
        <x:v>Published scope</x:v>
      </x:c>
      <x:c r="F5" s="19" t="str">
        <x:v>Prescribed sequence</x:v>
      </x:c>
      <x:c r="G5" s="19" t="str">
        <x:v>Version / source cut</x:v>
      </x:c>
      <x:c r="H5" s="19" t="str">
        <x:v>Source IDs</x:v>
      </x:c>
      <x:c r="I5" s="20" t="str">
        <x:v>Source URLs</x:v>
      </x:c>
    </x:row>
    <x:row r="6" ht="153.75" customHeight="1">
      <x:c r="A6" s="21" t="str">
        <x:v>ST25</x:v>
      </x:c>
      <x:c r="B6" s="21" t="str">
        <x:v>STDO 2.5.1 RC2</x:v>
      </x:c>
      <x:c r="C6" s="21" t="str">
        <x:v>STDO</x:v>
      </x:c>
      <x:c r="D6" s="21" t="str">
        <x:v>Normative methodology and companion guidance</x:v>
      </x:c>
      <x:c r="E6" s="21" t="str">
        <x:v>General governed product/software construction</x:v>
      </x:c>
      <x:c r="F6" s="21" t="str">
        <x:v>Goals → Intent → Product definition → Requirements → Design → Code → Evidence → Gap/reprice</x:v>
      </x:c>
      <x:c r="G6" s="21" t="str">
        <x:v>Verified installed RC2</x:v>
      </x:c>
      <x:c r="H6" s="21" t="str">
        <x:v>SS, SD, SA, SF, SB, ST, SR, SM, SW, SQ</x:v>
      </x:c>
      <x:c r="I6" s="49" t="str">
        <x:f>INDEX('Sources'!$D$6:$D$66,MATCH("SS",'Sources'!$A$6:$A$66,0))&amp;CHAR(10)&amp;INDEX('Sources'!$D$6:$D$66,MATCH("SD",'Sources'!$A$6:$A$66,0))&amp;CHAR(10)&amp;INDEX('Sources'!$D$6:$D$66,MATCH("SA",'Sources'!$A$6:$A$66,0))&amp;CHAR(10)&amp;INDEX('Sources'!$D$6:$D$66,MATCH("SF",'Sources'!$A$6:$A$66,0))&amp;CHAR(10)&amp;INDEX('Sources'!$D$6:$D$66,MATCH("SB",'Sources'!$A$6:$A$66,0))&amp;CHAR(10)&amp;INDEX('Sources'!$D$6:$D$66,MATCH("ST",'Sources'!$A$6:$A$66,0))&amp;CHAR(10)&amp;INDEX('Sources'!$D$6:$D$66,MATCH("SR",'Sources'!$A$6:$A$66,0))&amp;CHAR(10)&amp;INDEX('Sources'!$D$6:$D$66,MATCH("SM",'Sources'!$A$6:$A$66,0))&amp;CHAR(10)&amp;INDEX('Sources'!$D$6:$D$66,MATCH("SW",'Sources'!$A$6:$A$66,0))&amp;CHAR(10)&amp;INDEX('Sources'!$D$6:$D$66,MATCH("SQ",'Sources'!$A$6:$A$66,0))</x:f>
        <x:v>stdo://releases/v2.5.1-rc.2/standards/SPEC_METHOD.md
stdo://releases/v2.5.1-rc.2/standards/DESIGN_MODULE_METHOD.md
stdo://releases/v2.5.1-rc.2/standards/AXIOMATIC_CALCULUS.md
stdo://releases/v2.5.1-rc.2/standards/REFERENCE_FRAME_METHOD.md
stdo://releases/v2.5.1-rc.2/standards/STDO_REFERENCE_FRAME_BASELINE.md
stdo://releases/v2.5.1-rc.2/standards/TICKET_METHOD.md
stdo://releases/v2.5.1-rc.2/standards/RELEASE_METHOD.md
Local STDO Representation: stdo-v2.5.1-rc.2/axiomatic-program.json
stdo://releases/v2.5.1-rc.2/standards/WRITING_GUIDE.md
STDO source project: specification/GOALS.md</x:v>
      </x:c>
    </x:row>
    <x:row r="7" ht="82.5" customHeight="1">
      <x:c r="A7" s="22" t="str">
        <x:v>CODEX</x:v>
      </x:c>
      <x:c r="B7" s="22" t="str">
        <x:v>Codex workflow</x:v>
      </x:c>
      <x:c r="C7" s="22" t="str">
        <x:v>OpenAI</x:v>
      </x:c>
      <x:c r="D7" s="22" t="str">
        <x:v>Published tool-supported workflow</x:v>
      </x:c>
      <x:c r="E7" s="22" t="str">
        <x:v>Coding and broader sustained work</x:v>
      </x:c>
      <x:c r="F7" s="22" t="str">
        <x:v>Outcome/constraints → durable plan → edit/check/repair → evidence-based continuation</x:v>
      </x:c>
      <x:c r="G7" s="22" t="str">
        <x:v>Current long-horizon/Goals guidance</x:v>
      </x:c>
      <x:c r="H7" s="22" t="str">
        <x:v>O1, O2, O3, O4, O5</x:v>
      </x:c>
      <x:c r="I7" s="50" t="str">
        <x:f>INDEX('Sources'!$D$6:$D$66,MATCH("O1",'Sources'!$A$6:$A$66,0))&amp;CHAR(10)&amp;INDEX('Sources'!$D$6:$D$66,MATCH("O2",'Sources'!$A$6:$A$66,0))&amp;CHAR(10)&amp;INDEX('Sources'!$D$6:$D$66,MATCH("O3",'Sources'!$A$6:$A$66,0))&amp;CHAR(10)&amp;INDEX('Sources'!$D$6:$D$66,MATCH("O4",'Sources'!$A$6:$A$66,0))&amp;CHAR(10)&amp;INDEX('Sources'!$D$6:$D$66,MATCH("O5",'Sources'!$A$6:$A$66,0))</x:f>
        <x:v>https://developers.openai.com/blog/run-long-horizon-tasks-with-codex
https://developers.openai.com/cookbook/examples/codex/using_goals_in_codex
https://learn.chatgpt.com/docs/agent-configuration/agents-md
https://learn.chatgpt.com/docs/code-review
https://learn.chatgpt.com/docs/agent-approvals-security</x:v>
      </x:c>
    </x:row>
    <x:row r="8" ht="82.5" customHeight="1">
      <x:c r="A8" s="22" t="str">
        <x:v>CLAUDE</x:v>
      </x:c>
      <x:c r="B8" s="22" t="str">
        <x:v>Claude Code workflow</x:v>
      </x:c>
      <x:c r="C8" s="22" t="str">
        <x:v>Anthropic</x:v>
      </x:c>
      <x:c r="D8" s="22" t="str">
        <x:v>Published tool-supported workflow</x:v>
      </x:c>
      <x:c r="E8" s="22" t="str">
        <x:v>Agent-assisted engineering and general tool work</x:v>
      </x:c>
      <x:c r="F8" s="22" t="str">
        <x:v>Explore → plan → implement/verify → commit/PR; fresh SPEC session for large features</x:v>
      </x:c>
      <x:c r="G8" s="22" t="str">
        <x:v>Current best-practice guidance</x:v>
      </x:c>
      <x:c r="H8" s="22" t="str">
        <x:v>A1, A3, A5, A2, A4</x:v>
      </x:c>
      <x:c r="I8" s="50" t="str">
        <x:f>INDEX('Sources'!$D$6:$D$66,MATCH("A1",'Sources'!$A$6:$A$66,0))&amp;CHAR(10)&amp;INDEX('Sources'!$D$6:$D$66,MATCH("A3",'Sources'!$A$6:$A$66,0))&amp;CHAR(10)&amp;INDEX('Sources'!$D$6:$D$66,MATCH("A5",'Sources'!$A$6:$A$66,0))&amp;CHAR(10)&amp;INDEX('Sources'!$D$6:$D$66,MATCH("A2",'Sources'!$A$6:$A$66,0))&amp;CHAR(10)&amp;INDEX('Sources'!$D$6:$D$66,MATCH("A4",'Sources'!$A$6:$A$66,0))</x:f>
        <x:v>https://code.claude.com/docs/en/best-practices
https://code.claude.com/docs/en/memory
https://code.claude.com/docs/en/sub-agents
https://code.claude.com/docs/en/how-claude-code-works
https://code.claude.com/docs/en/permissions</x:v>
      </x:c>
    </x:row>
    <x:row r="9" ht="68.25" customHeight="1">
      <x:c r="A9" s="22" t="str">
        <x:v>GOOGLE</x:v>
      </x:c>
      <x:c r="B9" s="22" t="str">
        <x:v>Antigravity 2.0</x:v>
      </x:c>
      <x:c r="C9" s="22" t="str">
        <x:v>Google</x:v>
      </x:c>
      <x:c r="D9" s="22" t="str">
        <x:v>Agent platform workflow</x:v>
      </x:c>
      <x:c r="E9" s="22" t="str">
        <x:v>Agent-assisted development, research and audit</x:v>
      </x:c>
      <x:c r="F9" s="22" t="str">
        <x:v>Explore → implementation plan → approval → execute → verify/iterate</x:v>
      </x:c>
      <x:c r="G9" s="22" t="str">
        <x:v>Current 2.0 documentation</x:v>
      </x:c>
      <x:c r="H9" s="22" t="str">
        <x:v>G1, G2, G3, G4</x:v>
      </x:c>
      <x:c r="I9" s="50" t="str">
        <x:f>INDEX('Sources'!$D$6:$D$66,MATCH("G1",'Sources'!$A$6:$A$66,0))&amp;CHAR(10)&amp;INDEX('Sources'!$D$6:$D$66,MATCH("G2",'Sources'!$A$6:$A$66,0))&amp;CHAR(10)&amp;INDEX('Sources'!$D$6:$D$66,MATCH("G3",'Sources'!$A$6:$A$66,0))&amp;CHAR(10)&amp;INDEX('Sources'!$D$6:$D$66,MATCH("G4",'Sources'!$A$6:$A$66,0))</x:f>
        <x:v>https://antigravity.google/docs/cli/best-practices/
https://antigravity.google/docs/artifact-review
https://antigravity.google/docs/subagents/
https://antigravity.google/docs/agent-settings</x:v>
      </x:c>
    </x:row>
    <x:row r="10" ht="68.25" customHeight="1">
      <x:c r="A10" s="22" t="str">
        <x:v>SPECKIT</x:v>
      </x:c>
      <x:c r="B10" s="22" t="str">
        <x:v>GitHub Spec Kit</x:v>
      </x:c>
      <x:c r="C10" s="22" t="str">
        <x:v>GitHub / Microsoft</x:v>
      </x:c>
      <x:c r="D10" s="22" t="str">
        <x:v>Spec-driven methodology and process harness</x:v>
      </x:c>
      <x:c r="E10" s="22" t="str">
        <x:v>Specification-led engineering; extensible beyond software</x:v>
      </x:c>
      <x:c r="F10" s="22" t="str">
        <x:v>Constitution → Specify → Plan → Tasks → Implement → Converge</x:v>
      </x:c>
      <x:c r="G10" s="22" t="str">
        <x:v>Current quickstart and workflow reference</x:v>
      </x:c>
      <x:c r="H10" s="22" t="str">
        <x:v>K1, K3, K2, K4</x:v>
      </x:c>
      <x:c r="I10" s="50" t="str">
        <x:f>INDEX('Sources'!$D$6:$D$66,MATCH("K1",'Sources'!$A$6:$A$66,0))&amp;CHAR(10)&amp;INDEX('Sources'!$D$6:$D$66,MATCH("K3",'Sources'!$A$6:$A$66,0))&amp;CHAR(10)&amp;INDEX('Sources'!$D$6:$D$66,MATCH("K2",'Sources'!$A$6:$A$66,0))&amp;CHAR(10)&amp;INDEX('Sources'!$D$6:$D$66,MATCH("K4",'Sources'!$A$6:$A$66,0))</x:f>
        <x:v>https://github.github.com/spec-kit/quickstart.html
https://github.github.com/spec-kit/guides/agentic-sdlc.html
https://github.github.com/spec-kit/reference/workflows.html
https://github.github.com/spec-kit/</x:v>
      </x:c>
    </x:row>
    <x:row r="11" ht="54" customHeight="1">
      <x:c r="A11" s="22" t="str">
        <x:v>KIRO</x:v>
      </x:c>
      <x:c r="B11" s="22" t="str">
        <x:v>Kiro specs/workflows</x:v>
      </x:c>
      <x:c r="C11" s="22" t="str">
        <x:v>Amazon / Kiro</x:v>
      </x:c>
      <x:c r="D11" s="22" t="str">
        <x:v>Spec-driven platform workflow</x:v>
      </x:c>
      <x:c r="E11" s="22" t="str">
        <x:v>Features, bug fixes and delegated engineering</x:v>
      </x:c>
      <x:c r="F11" s="22" t="str">
        <x:v>Requirements/bug analysis → design → tasks → isolated workflow execution/review</x:v>
      </x:c>
      <x:c r="G11" s="22" t="str">
        <x:v>Current specs/workflows, October 2026</x:v>
      </x:c>
      <x:c r="H11" s="22" t="str">
        <x:v>I1, I3, I2</x:v>
      </x:c>
      <x:c r="I11" s="50" t="str">
        <x:f>INDEX('Sources'!$D$6:$D$66,MATCH("I1",'Sources'!$A$6:$A$66,0))&amp;CHAR(10)&amp;INDEX('Sources'!$D$6:$D$66,MATCH("I3",'Sources'!$A$6:$A$66,0))&amp;CHAR(10)&amp;INDEX('Sources'!$D$6:$D$66,MATCH("I2",'Sources'!$A$6:$A$66,0))</x:f>
        <x:v>https://kiro.dev/docs/specs/
https://kiro.dev/docs/workflows/authoring/
https://kiro.dev/docs/workflows/</x:v>
      </x:c>
    </x:row>
    <x:row r="12" ht="82.5" customHeight="1">
      <x:c r="A12" s="22" t="str">
        <x:v>BMAD</x:v>
      </x:c>
      <x:c r="B12" s="22" t="str">
        <x:v>BMad Method</x:v>
      </x:c>
      <x:c r="C12" s="22" t="str">
        <x:v>BMad Code</x:v>
      </x:c>
      <x:c r="D12" s="22" t="str">
        <x:v>AI-assisted development methodology</x:v>
      </x:c>
      <x:c r="E12" s="22" t="str">
        <x:v>Software ideas, product planning and bounded delivery</x:v>
      </x:c>
      <x:c r="F12" s="22" t="str">
        <x:v>Analysis → planning → solutioning → session-sized build/review; short paths supported</x:v>
      </x:c>
      <x:c r="G12" s="22" t="str">
        <x:v>Current V6 documentation</x:v>
      </x:c>
      <x:c r="H12" s="22" t="str">
        <x:v>B1, B5, B3, B4, B2</x:v>
      </x:c>
      <x:c r="I12" s="50" t="str">
        <x:f>INDEX('Sources'!$D$6:$D$66,MATCH("B1",'Sources'!$A$6:$A$66,0))&amp;CHAR(10)&amp;INDEX('Sources'!$D$6:$D$66,MATCH("B5",'Sources'!$A$6:$A$66,0))&amp;CHAR(10)&amp;INDEX('Sources'!$D$6:$D$66,MATCH("B3",'Sources'!$A$6:$A$66,0))&amp;CHAR(10)&amp;INDEX('Sources'!$D$6:$D$66,MATCH("B4",'Sources'!$A$6:$A$66,0))&amp;CHAR(10)&amp;INDEX('Sources'!$D$6:$D$66,MATCH("B2",'Sources'!$A$6:$A$66,0))</x:f>
        <x:v>https://docs.bmad-method.org/plan/define-requirements-and-a-specification/
https://docs.bmad-method.org/workflow-map-diagram.html
https://docs.bmad-method.org/existing-codebases/set-and-maintain-project-context/
https://docs.bmad-method.org/build/autonomous-development-loops/
https://docs.bmad-method.org/build/review-a-change/</x:v>
      </x:c>
    </x:row>
    <x:row r="13" ht="68.25" customHeight="1">
      <x:c r="A13" s="22" t="str">
        <x:v>OPENSPEC</x:v>
      </x:c>
      <x:c r="B13" s="22" t="str">
        <x:v>OpenSpec / OPSX</x:v>
      </x:c>
      <x:c r="C13" s="22" t="str">
        <x:v>Fission AI</x:v>
      </x:c>
      <x:c r="D13" s="22" t="str">
        <x:v>Artifact-guided specification methodology</x:v>
      </x:c>
      <x:c r="E13" s="22" t="str">
        <x:v>Incremental, brownfield and cross-repository changes</x:v>
      </x:c>
      <x:c r="F13" s="22" t="str">
        <x:v>Explore → propose → apply → sync → archive; Verify in expanded profile</x:v>
      </x:c>
      <x:c r="G13" s="22" t="str">
        <x:v>Current OPSX; Stores beta</x:v>
      </x:c>
      <x:c r="H13" s="22" t="str">
        <x:v>P1, P2, P3, P4</x:v>
      </x:c>
      <x:c r="I13" s="50" t="str">
        <x:f>INDEX('Sources'!$D$6:$D$66,MATCH("P1",'Sources'!$A$6:$A$66,0))&amp;CHAR(10)&amp;INDEX('Sources'!$D$6:$D$66,MATCH("P2",'Sources'!$A$6:$A$66,0))&amp;CHAR(10)&amp;INDEX('Sources'!$D$6:$D$66,MATCH("P3",'Sources'!$A$6:$A$66,0))&amp;CHAR(10)&amp;INDEX('Sources'!$D$6:$D$66,MATCH("P4",'Sources'!$A$6:$A$66,0))</x:f>
        <x:v>https://openspec.dev/
https://github.com/Fission-AI/OpenSpec
https://raw.githubusercontent.com/Fission-AI/OpenSpec/main/docs/opsx.md
https://raw.githubusercontent.com/Fission-AI/OpenSpec/main/docs/workflows.md</x:v>
      </x:c>
    </x:row>
    <x:row r="14" ht="68.25" customHeight="1">
      <x:c r="A14" s="22" t="str">
        <x:v>QWEN</x:v>
      </x:c>
      <x:c r="B14" s="22" t="str">
        <x:v>Qwen Code</x:v>
      </x:c>
      <x:c r="C14" s="22" t="str">
        <x:v>Alibaba / Qwen</x:v>
      </x:c>
      <x:c r="D14" s="22" t="str">
        <x:v>Coding harness and task workflows</x:v>
      </x:c>
      <x:c r="E14" s="22" t="str">
        <x:v>Coding, research and extensible native work</x:v>
      </x:c>
      <x:c r="F14" s="22" t="str">
        <x:v>Define observable Goal → execute turns → completion/blocked claim → verifier decision</x:v>
      </x:c>
      <x:c r="G14" s="22" t="str">
        <x:v>Current workflow/Goals documentation</x:v>
      </x:c>
      <x:c r="H14" s="22" t="str">
        <x:v>Q1, Q2, Q3, Q4</x:v>
      </x:c>
      <x:c r="I14" s="50" t="str">
        <x:f>INDEX('Sources'!$D$6:$D$66,MATCH("Q1",'Sources'!$A$6:$A$66,0))&amp;CHAR(10)&amp;INDEX('Sources'!$D$6:$D$66,MATCH("Q2",'Sources'!$A$6:$A$66,0))&amp;CHAR(10)&amp;INDEX('Sources'!$D$6:$D$66,MATCH("Q3",'Sources'!$A$6:$A$66,0))&amp;CHAR(10)&amp;INDEX('Sources'!$D$6:$D$66,MATCH("Q4",'Sources'!$A$6:$A$66,0))</x:f>
        <x:v>https://qwenlm.github.io/qwen-code-docs/en/users/common-workflow/
https://qwenlm.github.io/qwen-code-docs/en/users/features/goals/
https://qwenlm.github.io/qwen-code-docs/en/users/features/sub-agents/
https://qwenlm.github.io/qwen-code-docs/en/users/features/approval-mode/</x:v>
      </x:c>
    </x:row>
    <x:row r="15" ht="54" customHeight="1">
      <x:c r="A15" s="22" t="str">
        <x:v>BUDDY</x:v>
      </x:c>
      <x:c r="B15" s="22" t="str">
        <x:v>CodeBuddy workflows</x:v>
      </x:c>
      <x:c r="C15" s="22" t="str">
        <x:v>Tencent</x:v>
      </x:c>
      <x:c r="D15" s="22" t="str">
        <x:v>IDE Plan and CLI engineering workflows</x:v>
      </x:c>
      <x:c r="E15" s="22" t="str">
        <x:v>Agent-assisted planning, implementation and review</x:v>
      </x:c>
      <x:c r="F15" s="22" t="str">
        <x:v>Clarify → solution → confirm → execute → archive; CLI explore/plan/build/verify</x:v>
      </x:c>
      <x:c r="G15" s="22" t="str">
        <x:v>Official Chinese Plan/CLI docs</x:v>
      </x:c>
      <x:c r="H15" s="22" t="str">
        <x:v>C1, C2</x:v>
      </x:c>
      <x:c r="I15" s="50" t="str">
        <x:f>INDEX('Sources'!$D$6:$D$66,MATCH("C1",'Sources'!$A$6:$A$66,0))&amp;CHAR(10)&amp;INDEX('Sources'!$D$6:$D$66,MATCH("C2",'Sources'!$A$6:$A$66,0))</x:f>
        <x:v>https://www.codebuddy.cn/docs/ide/Features/Plan-Mode
https://www.codebuddy.cn/docs/cli/best-practices</x:v>
      </x:c>
    </x:row>
    <x:row r="16" ht="68.25" customHeight="1">
      <x:c r="A16" s="22" t="str">
        <x:v>TRAE</x:v>
      </x:c>
      <x:c r="B16" s="22" t="str">
        <x:v>TRAE Chinese workflows</x:v>
      </x:c>
      <x:c r="C16" s="22" t="str">
        <x:v>TRAE</x:v>
      </x:c>
      <x:c r="D16" s="22" t="str">
        <x:v>Plan/Spec/Goal platform workflows</x:v>
      </x:c>
      <x:c r="E16" s="22" t="str">
        <x:v>Coding and reusable task/data-analysis skills</x:v>
      </x:c>
      <x:c r="F16" s="22" t="str">
        <x:v>Agent: requirements → PRD/technical solution → code → preview; alternative Plan/Spec/Goal workflows</x:v>
      </x:c>
      <x:c r="G16" s="22" t="str">
        <x:v>TraeCode Chinese docs; not merged with international branding</x:v>
      </x:c>
      <x:c r="H16" s="22" t="str">
        <x:v>T1, T2, T3, T4</x:v>
      </x:c>
      <x:c r="I16" s="50" t="str">
        <x:f>INDEX('Sources'!$D$6:$D$66,MATCH("T1",'Sources'!$A$6:$A$66,0))&amp;CHAR(10)&amp;INDEX('Sources'!$D$6:$D$66,MATCH("T2",'Sources'!$A$6:$A$66,0))&amp;CHAR(10)&amp;INDEX('Sources'!$D$6:$D$66,MATCH("T3",'Sources'!$A$6:$A$66,0))&amp;CHAR(10)&amp;INDEX('Sources'!$D$6:$D$66,MATCH("T4",'Sources'!$A$6:$A$66,0))</x:f>
        <x:v>https://docs.trae.cn/ide_built-in-workflows
https://docs.trae.cn/ide_built-in-agent
https://docs.trae.cn/ide_skills
https://docs.trae.cn/ide_agent-powered-code-review</x:v>
      </x:c>
    </x:row>
    <x:row r="17" ht="68.25" customHeight="1">
      <x:c r="A17" s="22" t="str">
        <x:v>METAGPT</x:v>
      </x:c>
      <x:c r="B17" s="22" t="str">
        <x:v>MetaGPT</x:v>
      </x:c>
      <x:c r="C17" s="22" t="str">
        <x:v>FoundationAgents / research</x:v>
      </x:c>
      <x:c r="D17" s="22" t="str">
        <x:v>SOP-based multi-agent framework</x:v>
      </x:c>
      <x:c r="E17" s="22" t="str">
        <x:v>Structured software development with role handoffs</x:v>
      </x:c>
      <x:c r="F17" s="22" t="str">
        <x:v>Requirement → PRD → architecture/interfaces → tasks → code → QA/test feedback</x:v>
      </x:c>
      <x:c r="G17" s="22" t="str">
        <x:v>ICLR 2024 method; November 2024 paper revision; stable v0.8 docs and mutable main</x:v>
      </x:c>
      <x:c r="H17" s="22" t="str">
        <x:v>M1, M3, M4, M2</x:v>
      </x:c>
      <x:c r="I17" s="50" t="str">
        <x:f>INDEX('Sources'!$D$6:$D$66,MATCH("M1",'Sources'!$A$6:$A$66,0))&amp;CHAR(10)&amp;INDEX('Sources'!$D$6:$D$66,MATCH("M3",'Sources'!$A$6:$A$66,0))&amp;CHAR(10)&amp;INDEX('Sources'!$D$6:$D$66,MATCH("M4",'Sources'!$A$6:$A$66,0))&amp;CHAR(10)&amp;INDEX('Sources'!$D$6:$D$66,MATCH("M2",'Sources'!$A$6:$A$66,0))</x:f>
        <x:v>https://arxiv.org/html/2308.00352
https://docs.deepwisdom.ai/main/en/guide/tutorials/multi_agent_101.html
https://docs.deepwisdom.ai/main/en/guide/in_depth_guides/breakpoint_recovery.html
https://github.com/FoundationAgents/MetaGPT</x:v>
      </x:c>
    </x:row>
    <x:row r="18" ht="68.25" customHeight="1">
      <x:c r="A18" s="22" t="str">
        <x:v>DEVALL</x:v>
      </x:c>
      <x:c r="B18" s="22" t="str">
        <x:v>ChatDev 2.0 / DevAll</x:v>
      </x:c>
      <x:c r="C18" s="22" t="str">
        <x:v>OpenBMB / research</x:v>
      </x:c>
      <x:c r="D18" s="22" t="str">
        <x:v>General multi-agent orchestration platform</x:v>
      </x:c>
      <x:c r="E18" s="22" t="str">
        <x:v>Configurable software, charting, research and other workflows</x:v>
      </x:c>
      <x:c r="F18" s="22" t="str">
        <x:v>Declared graph → dependency/cycle-aware scheduling → context transfer → node results/evaluation</x:v>
      </x:c>
      <x:c r="G18" s="22" t="str">
        <x:v>Current published DevAll; latest release v2.2.0; September 2026 preprint and mutable main docs</x:v>
      </x:c>
      <x:c r="H18" s="22" t="str">
        <x:v>D1, D3, D4, D2</x:v>
      </x:c>
      <x:c r="I18" s="50" t="str">
        <x:f>INDEX('Sources'!$D$6:$D$66,MATCH("D1",'Sources'!$A$6:$A$66,0))&amp;CHAR(10)&amp;INDEX('Sources'!$D$6:$D$66,MATCH("D3",'Sources'!$A$6:$A$66,0))&amp;CHAR(10)&amp;INDEX('Sources'!$D$6:$D$66,MATCH("D4",'Sources'!$A$6:$A$66,0))&amp;CHAR(10)&amp;INDEX('Sources'!$D$6:$D$66,MATCH("D2",'Sources'!$A$6:$A$66,0))</x:f>
        <x:v>https://arxiv.org/html/2609.00714
https://github.com/OpenBMB/ChatDev/blob/main/docs/user_guide/en/workflow_authoring.md
https://github.com/OpenBMB/ChatDev/blob/main/docs/user_guide/en/modules/memory.md
https://github.com/OpenBMB/ChatDev/releases/tag/v2.2.0</x:v>
      </x:c>
    </x:row>
    <x:row r="19" ht="54" customHeight="1">
      <x:c r="A19" s="23" t="str">
        <x:v>AGENTLESS</x:v>
      </x:c>
      <x:c r="B19" s="23" t="str">
        <x:v>Agentless</x:v>
      </x:c>
      <x:c r="C19" s="23" t="str">
        <x:v>OpenAutoCoder / research</x:v>
      </x:c>
      <x:c r="D19" s="23" t="str">
        <x:v>Bounded repair procedure</x:v>
      </x:c>
      <x:c r="E19" s="23" t="str">
        <x:v>Repository issue localization and patch repair</x:v>
      </x:c>
      <x:c r="F19" s="23" t="str">
        <x:v>Localize → sample repairs → reproduction/regression filtering → select patch</x:v>
      </x:c>
      <x:c r="G19" s="23" t="str">
        <x:v>Public v1.5 and October 2024 paper; later model-specific results</x:v>
      </x:c>
      <x:c r="H19" s="23" t="str">
        <x:v>L1, L2</x:v>
      </x:c>
      <x:c r="I19" s="51" t="str">
        <x:f>INDEX('Sources'!$D$6:$D$66,MATCH("L1",'Sources'!$A$6:$A$66,0))&amp;CHAR(10)&amp;INDEX('Sources'!$D$6:$D$66,MATCH("L2",'Sources'!$A$6:$A$66,0))</x:f>
        <x:v>https://arxiv.org/html/2407.01489
https://github.com/OpenAutoCoder/Agentless</x:v>
      </x:c>
    </x:row>
  </x:sheetData>
  <x:pageMargins left="0.7" right="0.7" top="0.75" bottom="0.75" header="0.3" footer="0.3"/>
  <x:tableParts count="1">
    <x:tablePart xmlns:r="http://schemas.openxmlformats.org/officeDocument/2006/relationships" r:id="R08346fa089434fe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.890000343322754" hidden="0" customWidth="1"/>
    <x:col min="2" max="2" width="13" hidden="0" customWidth="1"/>
    <x:col min="3" max="3" width="11.220000267028809" hidden="0" customWidth="1"/>
    <x:col min="4" max="4" width="34.439998626708984" hidden="0" customWidth="1"/>
    <x:col min="5" max="5" width="30" hidden="0" customWidth="1"/>
    <x:col min="6" max="6" width="69.55999755859375" hidden="0" customWidth="1"/>
    <x:col min="7" max="7" width="28.670000076293945" hidden="0" customWidth="1"/>
    <x:col min="8" max="8" width="20" hidden="0" customWidth="1"/>
    <x:col min="9" max="9" width="77.77999877929688" hidden="0" customWidth="1"/>
  </x:cols>
  <x:sheetData>
    <x:row r="1" ht="23.25" customHeight="1">
      <x:c r="A1" s="7" t="str">
        <x:v>Evidence</x:v>
      </x:c>
      <x:c r="B1" s="8"/>
      <x:c r="C1" s="8"/>
      <x:c r="D1" s="8"/>
      <x:c r="E1" s="8"/>
      <x:c r="F1" s="8"/>
      <x:c r="G1" s="8"/>
      <x:c r="H1" s="8"/>
      <x:c r="I1" s="8"/>
    </x:row>
    <x:row r="2" ht="18" customHeight="1">
      <x:c r="A2" s="9" t="str">
        <x:v>Cell-level assessment reasons and primary sources for each current rating.</x:v>
      </x:c>
      <x:c r="B2" s="6"/>
      <x:c r="C2" s="6"/>
      <x:c r="D2" s="6"/>
      <x:c r="E2" s="6"/>
      <x:c r="F2" s="6"/>
      <x:c r="G2" s="6"/>
      <x:c r="H2" s="6"/>
      <x:c r="I2" s="6"/>
    </x:row>
    <x:row r="3" ht="18" customHeight="1">
      <x:c r="A3" s="6" t="str">
        <x:v>Current ratings follow Matrix values. Reasons remain analyst judgments and must be reassessed when the rating changes.</x:v>
      </x:c>
      <x:c r="B3" s="6"/>
      <x:c r="C3" s="6"/>
      <x:c r="D3" s="6"/>
      <x:c r="E3" s="6"/>
      <x:c r="F3" s="6"/>
      <x:c r="G3" s="6"/>
      <x:c r="H3" s="6"/>
      <x:c r="I3" s="6"/>
    </x:row>
    <x:row r="4" ht="16.5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42" customHeight="1">
      <x:c r="A5" s="18" t="str">
        <x:v>Feature ID</x:v>
      </x:c>
      <x:c r="B5" s="19" t="str">
        <x:v>Method ID</x:v>
      </x:c>
      <x:c r="C5" s="19" t="str">
        <x:v>Current rating</x:v>
      </x:c>
      <x:c r="D5" s="19" t="str">
        <x:v>Feature</x:v>
      </x:c>
      <x:c r="E5" s="19" t="str">
        <x:v>Method</x:v>
      </x:c>
      <x:c r="F5" s="19" t="str">
        <x:v>Assessment reason</x:v>
      </x:c>
      <x:c r="G5" s="19" t="str">
        <x:v>Assessment basis</x:v>
      </x:c>
      <x:c r="H5" s="19" t="str">
        <x:v>Source IDs</x:v>
      </x:c>
      <x:c r="I5" s="20" t="str">
        <x:v>Source URLs</x:v>
      </x:c>
    </x:row>
    <x:row r="6" ht="46.5" customHeight="1">
      <x:c r="A6" s="21" t="str">
        <x:v>F01</x:v>
      </x:c>
      <x:c r="B6" s="21" t="str">
        <x:v>ST25</x:v>
      </x:c>
      <x:c r="C6" s="29" t="n">
        <x:f>INDEX('Matrix'!$C$6:$P$35,MATCH(A6,'Matrix'!$A$6:$A$35,0),MATCH(B6,'Matrix'!$C$4:$P$4,0))</x:f>
        <x:v>3</x:v>
      </x:c>
      <x:c r="D6" s="21" t="str">
        <x:v>Intent and success criteria</x:v>
      </x:c>
      <x:c r="E6" s="21" t="str">
        <x:v>STDO 2.5.1 RC2</x:v>
      </x:c>
      <x:c r="F6" s="21" t="str">
        <x:v>Declared authority chain connects intent, Product, requirements, design and evidence.</x:v>
      </x:c>
      <x:c r="G6" s="21" t="str">
        <x:v>Published coverage; analyst judgment</x:v>
      </x:c>
      <x:c r="H6" s="21" t="str">
        <x:v>SS, SD</x:v>
      </x:c>
      <x:c r="I6" s="49" t="str">
        <x:f>INDEX('Sources'!$D$6:$D$66,MATCH("SS",'Sources'!$A$6:$A$66,0))&amp;CHAR(10)&amp;INDEX('Sources'!$D$6:$D$66,MATCH("SD",'Sources'!$A$6:$A$66,0))</x:f>
        <x:v>stdo://releases/v2.5.1-rc.2/standards/SPEC_METHOD.md
stdo://releases/v2.5.1-rc.2/standards/DESIGN_MODULE_METHOD.md</x:v>
      </x:c>
    </x:row>
    <x:row r="7" ht="46.5" customHeight="1">
      <x:c r="A7" s="22" t="str">
        <x:v>F02</x:v>
      </x:c>
      <x:c r="B7" s="22" t="str">
        <x:v>ST25</x:v>
      </x:c>
      <x:c r="C7" s="30" t="n">
        <x:f>INDEX('Matrix'!$C$6:$P$35,MATCH(A7,'Matrix'!$A$6:$A$35,0),MATCH(B7,'Matrix'!$C$4:$P$4,0))</x:f>
        <x:v>3</x:v>
      </x:c>
      <x:c r="D7" s="22" t="str">
        <x:v>Product definition and scope</x:v>
      </x:c>
      <x:c r="E7" s="22" t="str">
        <x:v>STDO 2.5.1 RC2</x:v>
      </x:c>
      <x:c r="F7" s="22" t="str">
        <x:v>Declared authority chain connects intent, Product, requirements, design and evidence.</x:v>
      </x:c>
      <x:c r="G7" s="22" t="str">
        <x:v>Published coverage; analyst judgment</x:v>
      </x:c>
      <x:c r="H7" s="22" t="str">
        <x:v>SS, SD</x:v>
      </x:c>
      <x:c r="I7" s="50" t="str">
        <x:f>INDEX('Sources'!$D$6:$D$66,MATCH("SS",'Sources'!$A$6:$A$66,0))&amp;CHAR(10)&amp;INDEX('Sources'!$D$6:$D$66,MATCH("SD",'Sources'!$A$6:$A$66,0))</x:f>
        <x:v>stdo://releases/v2.5.1-rc.2/standards/SPEC_METHOD.md
stdo://releases/v2.5.1-rc.2/standards/DESIGN_MODULE_METHOD.md</x:v>
      </x:c>
    </x:row>
    <x:row r="8" ht="46.5" customHeight="1">
      <x:c r="A8" s="22" t="str">
        <x:v>F03</x:v>
      </x:c>
      <x:c r="B8" s="22" t="str">
        <x:v>ST25</x:v>
      </x:c>
      <x:c r="C8" s="30" t="n">
        <x:f>INDEX('Matrix'!$C$6:$P$35,MATCH(A8,'Matrix'!$A$6:$A$35,0),MATCH(B8,'Matrix'!$C$4:$P$4,0))</x:f>
        <x:v>3</x:v>
      </x:c>
      <x:c r="D8" s="22" t="str">
        <x:v>Requirements before construction</x:v>
      </x:c>
      <x:c r="E8" s="22" t="str">
        <x:v>STDO 2.5.1 RC2</x:v>
      </x:c>
      <x:c r="F8" s="22" t="str">
        <x:v>Declared authority chain connects intent, Product, requirements, design and evidence.</x:v>
      </x:c>
      <x:c r="G8" s="22" t="str">
        <x:v>Published coverage; analyst judgment</x:v>
      </x:c>
      <x:c r="H8" s="22" t="str">
        <x:v>SS, SD</x:v>
      </x:c>
      <x:c r="I8" s="50" t="str">
        <x:f>INDEX('Sources'!$D$6:$D$66,MATCH("SS",'Sources'!$A$6:$A$66,0))&amp;CHAR(10)&amp;INDEX('Sources'!$D$6:$D$66,MATCH("SD",'Sources'!$A$6:$A$66,0))</x:f>
        <x:v>stdo://releases/v2.5.1-rc.2/standards/SPEC_METHOD.md
stdo://releases/v2.5.1-rc.2/standards/DESIGN_MODULE_METHOD.md</x:v>
      </x:c>
    </x:row>
    <x:row r="9" ht="46.5" customHeight="1">
      <x:c r="A9" s="22" t="str">
        <x:v>F04</x:v>
      </x:c>
      <x:c r="B9" s="22" t="str">
        <x:v>ST25</x:v>
      </x:c>
      <x:c r="C9" s="30" t="n">
        <x:f>INDEX('Matrix'!$C$6:$P$35,MATCH(A9,'Matrix'!$A$6:$A$35,0),MATCH(B9,'Matrix'!$C$4:$P$4,0))</x:f>
        <x:v>3</x:v>
      </x:c>
      <x:c r="D9" s="22" t="str">
        <x:v>Design separated from requirements</x:v>
      </x:c>
      <x:c r="E9" s="22" t="str">
        <x:v>STDO 2.5.1 RC2</x:v>
      </x:c>
      <x:c r="F9" s="22" t="str">
        <x:v>Declared authority chain connects intent, Product, requirements, design and evidence.</x:v>
      </x:c>
      <x:c r="G9" s="22" t="str">
        <x:v>Published coverage; analyst judgment</x:v>
      </x:c>
      <x:c r="H9" s="22" t="str">
        <x:v>SS, SD</x:v>
      </x:c>
      <x:c r="I9" s="50" t="str">
        <x:f>INDEX('Sources'!$D$6:$D$66,MATCH("SS",'Sources'!$A$6:$A$66,0))&amp;CHAR(10)&amp;INDEX('Sources'!$D$6:$D$66,MATCH("SD",'Sources'!$A$6:$A$66,0))</x:f>
        <x:v>stdo://releases/v2.5.1-rc.2/standards/SPEC_METHOD.md
stdo://releases/v2.5.1-rc.2/standards/DESIGN_MODULE_METHOD.md</x:v>
      </x:c>
    </x:row>
    <x:row r="10" ht="46.5" customHeight="1">
      <x:c r="A10" s="22" t="str">
        <x:v>F05</x:v>
      </x:c>
      <x:c r="B10" s="22" t="str">
        <x:v>ST25</x:v>
      </x:c>
      <x:c r="C10" s="30" t="n">
        <x:f>INDEX('Matrix'!$C$6:$P$35,MATCH(A10,'Matrix'!$A$6:$A$35,0),MATCH(B10,'Matrix'!$C$4:$P$4,0))</x:f>
        <x:v>3</x:v>
      </x:c>
      <x:c r="D10" s="22" t="str">
        <x:v>Traceability across stages</x:v>
      </x:c>
      <x:c r="E10" s="22" t="str">
        <x:v>STDO 2.5.1 RC2</x:v>
      </x:c>
      <x:c r="F10" s="22" t="str">
        <x:v>Declared authority chain connects intent, Product, requirements, design and evidence.</x:v>
      </x:c>
      <x:c r="G10" s="22" t="str">
        <x:v>Published coverage; analyst judgment</x:v>
      </x:c>
      <x:c r="H10" s="22" t="str">
        <x:v>SS, SD</x:v>
      </x:c>
      <x:c r="I10" s="50" t="str">
        <x:f>INDEX('Sources'!$D$6:$D$66,MATCH("SS",'Sources'!$A$6:$A$66,0))&amp;CHAR(10)&amp;INDEX('Sources'!$D$6:$D$66,MATCH("SD",'Sources'!$A$6:$A$66,0))</x:f>
        <x:v>stdo://releases/v2.5.1-rc.2/standards/SPEC_METHOD.md
stdo://releases/v2.5.1-rc.2/standards/DESIGN_MODULE_METHOD.md</x:v>
      </x:c>
    </x:row>
    <x:row r="11" ht="46.5" customHeight="1">
      <x:c r="A11" s="22" t="str">
        <x:v>F06</x:v>
      </x:c>
      <x:c r="B11" s="22" t="str">
        <x:v>ST25</x:v>
      </x:c>
      <x:c r="C11" s="30" t="n">
        <x:f>INDEX('Matrix'!$C$6:$P$35,MATCH(A11,'Matrix'!$A$6:$A$35,0),MATCH(B11,'Matrix'!$C$4:$P$4,0))</x:f>
        <x:v>3</x:v>
      </x:c>
      <x:c r="D11" s="22" t="str">
        <x:v>Domain concepts and identity</x:v>
      </x:c>
      <x:c r="E11" s="22" t="str">
        <x:v>STDO 2.5.1 RC2</x:v>
      </x:c>
      <x:c r="F11" s="22" t="str">
        <x:v>Scoped identity, invariants and typed transformation/composition laws are explicit.</x:v>
      </x:c>
      <x:c r="G11" s="22" t="str">
        <x:v>Published coverage; analyst judgment</x:v>
      </x:c>
      <x:c r="H11" s="22" t="str">
        <x:v>SA, SD</x:v>
      </x:c>
      <x:c r="I11" s="50" t="str">
        <x:f>INDEX('Sources'!$D$6:$D$66,MATCH("SA",'Sources'!$A$6:$A$66,0))&amp;CHAR(10)&amp;INDEX('Sources'!$D$6:$D$66,MATCH("SD",'Sources'!$A$6:$A$66,0))</x:f>
        <x:v>stdo://releases/v2.5.1-rc.2/standards/AXIOMATIC_CALCULUS.md
stdo://releases/v2.5.1-rc.2/standards/DESIGN_MODULE_METHOD.md</x:v>
      </x:c>
    </x:row>
    <x:row r="12" ht="46.5" customHeight="1">
      <x:c r="A12" s="22" t="str">
        <x:v>F07</x:v>
      </x:c>
      <x:c r="B12" s="22" t="str">
        <x:v>ST25</x:v>
      </x:c>
      <x:c r="C12" s="30" t="n">
        <x:f>INDEX('Matrix'!$C$6:$P$35,MATCH(A12,'Matrix'!$A$6:$A$35,0),MATCH(B12,'Matrix'!$C$4:$P$4,0))</x:f>
        <x:v>3</x:v>
      </x:c>
      <x:c r="D12" s="22" t="str">
        <x:v>Explicit inputs, outputs and contracts</x:v>
      </x:c>
      <x:c r="E12" s="22" t="str">
        <x:v>STDO 2.5.1 RC2</x:v>
      </x:c>
      <x:c r="F12" s="22" t="str">
        <x:v>Scoped identity, invariants and typed transformation/composition laws are explicit.</x:v>
      </x:c>
      <x:c r="G12" s="22" t="str">
        <x:v>Published coverage; analyst judgment</x:v>
      </x:c>
      <x:c r="H12" s="22" t="str">
        <x:v>SA, SD</x:v>
      </x:c>
      <x:c r="I12" s="50" t="str">
        <x:f>INDEX('Sources'!$D$6:$D$66,MATCH("SA",'Sources'!$A$6:$A$66,0))&amp;CHAR(10)&amp;INDEX('Sources'!$D$6:$D$66,MATCH("SD",'Sources'!$A$6:$A$66,0))</x:f>
        <x:v>stdo://releases/v2.5.1-rc.2/standards/AXIOMATIC_CALCULUS.md
stdo://releases/v2.5.1-rc.2/standards/DESIGN_MODULE_METHOD.md</x:v>
      </x:c>
    </x:row>
    <x:row r="13" ht="46.5" customHeight="1">
      <x:c r="A13" s="22" t="str">
        <x:v>F08</x:v>
      </x:c>
      <x:c r="B13" s="22" t="str">
        <x:v>ST25</x:v>
      </x:c>
      <x:c r="C13" s="30" t="n">
        <x:f>INDEX('Matrix'!$C$6:$P$35,MATCH(A13,'Matrix'!$A$6:$A$35,0),MATCH(B13,'Matrix'!$C$4:$P$4,0))</x:f>
        <x:v>3</x:v>
      </x:c>
      <x:c r="D13" s="22" t="str">
        <x:v>Invariants and semantic constraints</x:v>
      </x:c>
      <x:c r="E13" s="22" t="str">
        <x:v>STDO 2.5.1 RC2</x:v>
      </x:c>
      <x:c r="F13" s="22" t="str">
        <x:v>Scoped identity, invariants and typed transformation/composition laws are explicit.</x:v>
      </x:c>
      <x:c r="G13" s="22" t="str">
        <x:v>Published coverage; analyst judgment</x:v>
      </x:c>
      <x:c r="H13" s="22" t="str">
        <x:v>SA, SD</x:v>
      </x:c>
      <x:c r="I13" s="50" t="str">
        <x:f>INDEX('Sources'!$D$6:$D$66,MATCH("SA",'Sources'!$A$6:$A$66,0))&amp;CHAR(10)&amp;INDEX('Sources'!$D$6:$D$66,MATCH("SD",'Sources'!$A$6:$A$66,0))</x:f>
        <x:v>stdo://releases/v2.5.1-rc.2/standards/AXIOMATIC_CALCULUS.md
stdo://releases/v2.5.1-rc.2/standards/DESIGN_MODULE_METHOD.md</x:v>
      </x:c>
    </x:row>
    <x:row r="14" ht="46.5" customHeight="1">
      <x:c r="A14" s="22" t="str">
        <x:v>F09</x:v>
      </x:c>
      <x:c r="B14" s="22" t="str">
        <x:v>ST25</x:v>
      </x:c>
      <x:c r="C14" s="30" t="n">
        <x:f>INDEX('Matrix'!$C$6:$P$35,MATCH(A14,'Matrix'!$A$6:$A$35,0),MATCH(B14,'Matrix'!$C$4:$P$4,0))</x:f>
        <x:v>3</x:v>
      </x:c>
      <x:c r="D14" s="22" t="str">
        <x:v>Composition and formal reasoning</x:v>
      </x:c>
      <x:c r="E14" s="22" t="str">
        <x:v>STDO 2.5.1 RC2</x:v>
      </x:c>
      <x:c r="F14" s="22" t="str">
        <x:v>Scoped identity, invariants and typed transformation/composition laws are explicit.</x:v>
      </x:c>
      <x:c r="G14" s="22" t="str">
        <x:v>Published coverage; analyst judgment</x:v>
      </x:c>
      <x:c r="H14" s="22" t="str">
        <x:v>SA, SD</x:v>
      </x:c>
      <x:c r="I14" s="50" t="str">
        <x:f>INDEX('Sources'!$D$6:$D$66,MATCH("SA",'Sources'!$A$6:$A$66,0))&amp;CHAR(10)&amp;INDEX('Sources'!$D$6:$D$66,MATCH("SD",'Sources'!$A$6:$A$66,0))</x:f>
        <x:v>stdo://releases/v2.5.1-rc.2/standards/AXIOMATIC_CALCULUS.md
stdo://releases/v2.5.1-rc.2/standards/DESIGN_MODULE_METHOD.md</x:v>
      </x:c>
    </x:row>
    <x:row r="15" ht="54" customHeight="1">
      <x:c r="A15" s="22" t="str">
        <x:v>F10</x:v>
      </x:c>
      <x:c r="B15" s="22" t="str">
        <x:v>ST25</x:v>
      </x:c>
      <x:c r="C15" s="30" t="n">
        <x:f>INDEX('Matrix'!$C$6:$P$35,MATCH(A15,'Matrix'!$A$6:$A$35,0),MATCH(B15,'Matrix'!$C$4:$P$4,0))</x:f>
        <x:v>3</x:v>
      </x:c>
      <x:c r="D15" s="22" t="str">
        <x:v>Relevant context selection</x:v>
      </x:c>
      <x:c r="E15" s="22" t="str">
        <x:v>STDO 2.5.1 RC2</x:v>
      </x:c>
      <x:c r="F15" s="22" t="str">
        <x:v>Frames require capability fit, material sufficiency and reconstructable intake.</x:v>
      </x:c>
      <x:c r="G15" s="22" t="str">
        <x:v>Published coverage; analyst judgment</x:v>
      </x:c>
      <x:c r="H15" s="22" t="str">
        <x:v>SF, SB, SS</x:v>
      </x:c>
      <x:c r="I15" s="50" t="str">
        <x:f>INDEX('Sources'!$D$6:$D$66,MATCH("SF",'Sources'!$A$6:$A$66,0))&amp;CHAR(10)&amp;INDEX('Sources'!$D$6:$D$66,MATCH("SB",'Sources'!$A$6:$A$66,0))&amp;CHAR(10)&amp;INDEX('Sources'!$D$6:$D$66,MATCH("SS",'Sources'!$A$6:$A$66,0))</x:f>
        <x:v>stdo://releases/v2.5.1-rc.2/standards/REFERENCE_FRAME_METHOD.md
stdo://releases/v2.5.1-rc.2/standards/STDO_REFERENCE_FRAME_BASELINE.md
stdo://releases/v2.5.1-rc.2/standards/SPEC_METHOD.md</x:v>
      </x:c>
    </x:row>
    <x:row r="16" ht="54" customHeight="1">
      <x:c r="A16" s="22" t="str">
        <x:v>F11</x:v>
      </x:c>
      <x:c r="B16" s="22" t="str">
        <x:v>ST25</x:v>
      </x:c>
      <x:c r="C16" s="30" t="n">
        <x:f>INDEX('Matrix'!$C$6:$P$35,MATCH(A16,'Matrix'!$A$6:$A$35,0),MATCH(B16,'Matrix'!$C$4:$P$4,0))</x:f>
        <x:v>3</x:v>
      </x:c>
      <x:c r="D16" s="22" t="str">
        <x:v>Attention fit and proportionality</x:v>
      </x:c>
      <x:c r="E16" s="22" t="str">
        <x:v>STDO 2.5.1 RC2</x:v>
      </x:c>
      <x:c r="F16" s="22" t="str">
        <x:v>Frames require capability fit, material sufficiency and reconstructable intake.</x:v>
      </x:c>
      <x:c r="G16" s="22" t="str">
        <x:v>Published coverage; analyst judgment</x:v>
      </x:c>
      <x:c r="H16" s="22" t="str">
        <x:v>SF, SB, SS</x:v>
      </x:c>
      <x:c r="I16" s="50" t="str">
        <x:f>INDEX('Sources'!$D$6:$D$66,MATCH("SF",'Sources'!$A$6:$A$66,0))&amp;CHAR(10)&amp;INDEX('Sources'!$D$6:$D$66,MATCH("SB",'Sources'!$A$6:$A$66,0))&amp;CHAR(10)&amp;INDEX('Sources'!$D$6:$D$66,MATCH("SS",'Sources'!$A$6:$A$66,0))</x:f>
        <x:v>stdo://releases/v2.5.1-rc.2/standards/REFERENCE_FRAME_METHOD.md
stdo://releases/v2.5.1-rc.2/standards/STDO_REFERENCE_FRAME_BASELINE.md
stdo://releases/v2.5.1-rc.2/standards/SPEC_METHOD.md</x:v>
      </x:c>
    </x:row>
    <x:row r="17" ht="54" customHeight="1">
      <x:c r="A17" s="22" t="str">
        <x:v>F12</x:v>
      </x:c>
      <x:c r="B17" s="22" t="str">
        <x:v>ST25</x:v>
      </x:c>
      <x:c r="C17" s="30" t="n">
        <x:f>INDEX('Matrix'!$C$6:$P$35,MATCH(A17,'Matrix'!$A$6:$A$35,0),MATCH(B17,'Matrix'!$C$4:$P$4,0))</x:f>
        <x:v>3</x:v>
      </x:c>
      <x:c r="D17" s="22" t="str">
        <x:v>Bounded probabilistic construction</x:v>
      </x:c>
      <x:c r="E17" s="22" t="str">
        <x:v>STDO 2.5.1 RC2</x:v>
      </x:c>
      <x:c r="F17" s="22" t="str">
        <x:v>Frames require capability fit, material sufficiency and reconstructable intake.</x:v>
      </x:c>
      <x:c r="G17" s="22" t="str">
        <x:v>Published coverage; analyst judgment</x:v>
      </x:c>
      <x:c r="H17" s="22" t="str">
        <x:v>SF, SB, SS</x:v>
      </x:c>
      <x:c r="I17" s="50" t="str">
        <x:f>INDEX('Sources'!$D$6:$D$66,MATCH("SF",'Sources'!$A$6:$A$66,0))&amp;CHAR(10)&amp;INDEX('Sources'!$D$6:$D$66,MATCH("SB",'Sources'!$A$6:$A$66,0))&amp;CHAR(10)&amp;INDEX('Sources'!$D$6:$D$66,MATCH("SS",'Sources'!$A$6:$A$66,0))</x:f>
        <x:v>stdo://releases/v2.5.1-rc.2/standards/REFERENCE_FRAME_METHOD.md
stdo://releases/v2.5.1-rc.2/standards/STDO_REFERENCE_FRAME_BASELINE.md
stdo://releases/v2.5.1-rc.2/standards/SPEC_METHOD.md</x:v>
      </x:c>
    </x:row>
    <x:row r="18" ht="54" customHeight="1">
      <x:c r="A18" s="22" t="str">
        <x:v>F13</x:v>
      </x:c>
      <x:c r="B18" s="22" t="str">
        <x:v>ST25</x:v>
      </x:c>
      <x:c r="C18" s="30" t="n">
        <x:f>INDEX('Matrix'!$C$6:$P$35,MATCH(A18,'Matrix'!$A$6:$A$35,0),MATCH(B18,'Matrix'!$C$4:$P$4,0))</x:f>
        <x:v>3</x:v>
      </x:c>
      <x:c r="D18" s="22" t="str">
        <x:v>Decomposition and recursive workflows</x:v>
      </x:c>
      <x:c r="E18" s="22" t="str">
        <x:v>STDO 2.5.1 RC2</x:v>
      </x:c>
      <x:c r="F18" s="22" t="str">
        <x:v>Frames require capability fit, material sufficiency and reconstructable intake.</x:v>
      </x:c>
      <x:c r="G18" s="22" t="str">
        <x:v>Published coverage; analyst judgment</x:v>
      </x:c>
      <x:c r="H18" s="22" t="str">
        <x:v>SF, SB, SS</x:v>
      </x:c>
      <x:c r="I18" s="50" t="str">
        <x:f>INDEX('Sources'!$D$6:$D$66,MATCH("SF",'Sources'!$A$6:$A$66,0))&amp;CHAR(10)&amp;INDEX('Sources'!$D$6:$D$66,MATCH("SB",'Sources'!$A$6:$A$66,0))&amp;CHAR(10)&amp;INDEX('Sources'!$D$6:$D$66,MATCH("SS",'Sources'!$A$6:$A$66,0))</x:f>
        <x:v>stdo://releases/v2.5.1-rc.2/standards/REFERENCE_FRAME_METHOD.md
stdo://releases/v2.5.1-rc.2/standards/STDO_REFERENCE_FRAME_BASELINE.md
stdo://releases/v2.5.1-rc.2/standards/SPEC_METHOD.md</x:v>
      </x:c>
    </x:row>
    <x:row r="19" ht="54" customHeight="1">
      <x:c r="A19" s="22" t="str">
        <x:v>F14</x:v>
      </x:c>
      <x:c r="B19" s="22" t="str">
        <x:v>ST25</x:v>
      </x:c>
      <x:c r="C19" s="30" t="n">
        <x:f>INDEX('Matrix'!$C$6:$P$35,MATCH(A19,'Matrix'!$A$6:$A$35,0),MATCH(B19,'Matrix'!$C$4:$P$4,0))</x:f>
        <x:v>2</x:v>
      </x:c>
      <x:c r="D19" s="22" t="str">
        <x:v>Durable state and resumption</x:v>
      </x:c>
      <x:c r="E19" s="22" t="str">
        <x:v>STDO 2.5.1 RC2</x:v>
      </x:c>
      <x:c r="F19" s="22" t="str">
        <x:v>Reconstructable checkpoint law; general execution persistence is consumer-owned.</x:v>
      </x:c>
      <x:c r="G19" s="22" t="str">
        <x:v>Published coverage; analyst judgment</x:v>
      </x:c>
      <x:c r="H19" s="22" t="str">
        <x:v>SF, SB, SS</x:v>
      </x:c>
      <x:c r="I19" s="50" t="str">
        <x:f>INDEX('Sources'!$D$6:$D$66,MATCH("SF",'Sources'!$A$6:$A$66,0))&amp;CHAR(10)&amp;INDEX('Sources'!$D$6:$D$66,MATCH("SB",'Sources'!$A$6:$A$66,0))&amp;CHAR(10)&amp;INDEX('Sources'!$D$6:$D$66,MATCH("SS",'Sources'!$A$6:$A$66,0))</x:f>
        <x:v>stdo://releases/v2.5.1-rc.2/standards/REFERENCE_FRAME_METHOD.md
stdo://releases/v2.5.1-rc.2/standards/STDO_REFERENCE_FRAME_BASELINE.md
stdo://releases/v2.5.1-rc.2/standards/SPEC_METHOD.md</x:v>
      </x:c>
    </x:row>
    <x:row r="20" ht="54" customHeight="1">
      <x:c r="A20" s="22" t="str">
        <x:v>F15</x:v>
      </x:c>
      <x:c r="B20" s="22" t="str">
        <x:v>ST25</x:v>
      </x:c>
      <x:c r="C20" s="30" t="n">
        <x:f>INDEX('Matrix'!$C$6:$P$35,MATCH(A20,'Matrix'!$A$6:$A$35,0),MATCH(B20,'Matrix'!$C$4:$P$4,0))</x:f>
        <x:v>3</x:v>
      </x:c>
      <x:c r="D20" s="22" t="str">
        <x:v>Observation and next-action feedback</x:v>
      </x:c>
      <x:c r="E20" s="22" t="str">
        <x:v>STDO 2.5.1 RC2</x:v>
      </x:c>
      <x:c r="F20" s="22" t="str">
        <x:v>Frames require capability fit, material sufficiency and reconstructable intake.</x:v>
      </x:c>
      <x:c r="G20" s="22" t="str">
        <x:v>Published coverage; analyst judgment</x:v>
      </x:c>
      <x:c r="H20" s="22" t="str">
        <x:v>SF, SB, SS</x:v>
      </x:c>
      <x:c r="I20" s="50" t="str">
        <x:f>INDEX('Sources'!$D$6:$D$66,MATCH("SF",'Sources'!$A$6:$A$66,0))&amp;CHAR(10)&amp;INDEX('Sources'!$D$6:$D$66,MATCH("SB",'Sources'!$A$6:$A$66,0))&amp;CHAR(10)&amp;INDEX('Sources'!$D$6:$D$66,MATCH("SS",'Sources'!$A$6:$A$66,0))</x:f>
        <x:v>stdo://releases/v2.5.1-rc.2/standards/REFERENCE_FRAME_METHOD.md
stdo://releases/v2.5.1-rc.2/standards/STDO_REFERENCE_FRAME_BASELINE.md
stdo://releases/v2.5.1-rc.2/standards/SPEC_METHOD.md</x:v>
      </x:c>
    </x:row>
    <x:row r="21" ht="54" customHeight="1">
      <x:c r="A21" s="22" t="str">
        <x:v>F16</x:v>
      </x:c>
      <x:c r="B21" s="22" t="str">
        <x:v>ST25</x:v>
      </x:c>
      <x:c r="C21" s="30" t="n">
        <x:f>INDEX('Matrix'!$C$6:$P$35,MATCH(A21,'Matrix'!$A$6:$A$35,0),MATCH(B21,'Matrix'!$C$4:$P$4,0))</x:f>
        <x:v>3</x:v>
      </x:c>
      <x:c r="D21" s="22" t="str">
        <x:v>Uncertainty, stops and re-entry</x:v>
      </x:c>
      <x:c r="E21" s="22" t="str">
        <x:v>STDO 2.5.1 RC2</x:v>
      </x:c>
      <x:c r="F21" s="22" t="str">
        <x:v>Frames require capability fit, material sufficiency and reconstructable intake.</x:v>
      </x:c>
      <x:c r="G21" s="22" t="str">
        <x:v>Published coverage; analyst judgment</x:v>
      </x:c>
      <x:c r="H21" s="22" t="str">
        <x:v>SF, SB, SS</x:v>
      </x:c>
      <x:c r="I21" s="50" t="str">
        <x:f>INDEX('Sources'!$D$6:$D$66,MATCH("SF",'Sources'!$A$6:$A$66,0))&amp;CHAR(10)&amp;INDEX('Sources'!$D$6:$D$66,MATCH("SB",'Sources'!$A$6:$A$66,0))&amp;CHAR(10)&amp;INDEX('Sources'!$D$6:$D$66,MATCH("SS",'Sources'!$A$6:$A$66,0))</x:f>
        <x:v>stdo://releases/v2.5.1-rc.2/standards/REFERENCE_FRAME_METHOD.md
stdo://releases/v2.5.1-rc.2/standards/STDO_REFERENCE_FRAME_BASELINE.md
stdo://releases/v2.5.1-rc.2/standards/SPEC_METHOD.md</x:v>
      </x:c>
    </x:row>
    <x:row r="22" ht="54" customHeight="1">
      <x:c r="A22" s="22" t="str">
        <x:v>F17</x:v>
      </x:c>
      <x:c r="B22" s="22" t="str">
        <x:v>ST25</x:v>
      </x:c>
      <x:c r="C22" s="30" t="n">
        <x:f>INDEX('Matrix'!$C$6:$P$35,MATCH(A22,'Matrix'!$A$6:$A$35,0),MATCH(B22,'Matrix'!$C$4:$P$4,0))</x:f>
        <x:v>3</x:v>
      </x:c>
      <x:c r="D22" s="22" t="str">
        <x:v>Permissions and effect boundaries</x:v>
      </x:c>
      <x:c r="E22" s="22" t="str">
        <x:v>STDO 2.5.1 RC2</x:v>
      </x:c>
      <x:c r="F22" s="22" t="str">
        <x:v>Claim scope, independent assessment and evidence-bound acceptance are prescribed.</x:v>
      </x:c>
      <x:c r="G22" s="22" t="str">
        <x:v>Published coverage; analyst judgment</x:v>
      </x:c>
      <x:c r="H22" s="22" t="str">
        <x:v>SS, SA, SB</x:v>
      </x:c>
      <x:c r="I22" s="50" t="str">
        <x:f>INDEX('Sources'!$D$6:$D$66,MATCH("SS",'Sources'!$A$6:$A$66,0))&amp;CHAR(10)&amp;INDEX('Sources'!$D$6:$D$66,MATCH("SA",'Sources'!$A$6:$A$66,0))&amp;CHAR(10)&amp;INDEX('Sources'!$D$6:$D$66,MATCH("SB",'Sources'!$A$6:$A$66,0))</x:f>
        <x:v>stdo://releases/v2.5.1-rc.2/standards/SPEC_METHOD.md
stdo://releases/v2.5.1-rc.2/standards/AXIOMATIC_CALCULUS.md
stdo://releases/v2.5.1-rc.2/standards/STDO_REFERENCE_FRAME_BASELINE.md</x:v>
      </x:c>
    </x:row>
    <x:row r="23" ht="54" customHeight="1">
      <x:c r="A23" s="22" t="str">
        <x:v>F18</x:v>
      </x:c>
      <x:c r="B23" s="22" t="str">
        <x:v>ST25</x:v>
      </x:c>
      <x:c r="C23" s="30" t="n">
        <x:f>INDEX('Matrix'!$C$6:$P$35,MATCH(A23,'Matrix'!$A$6:$A$35,0),MATCH(B23,'Matrix'!$C$4:$P$4,0))</x:f>
        <x:v>3</x:v>
      </x:c>
      <x:c r="D23" s="22" t="str">
        <x:v>Independent assessment</x:v>
      </x:c>
      <x:c r="E23" s="22" t="str">
        <x:v>STDO 2.5.1 RC2</x:v>
      </x:c>
      <x:c r="F23" s="22" t="str">
        <x:v>Claim scope, independent assessment and evidence-bound acceptance are prescribed.</x:v>
      </x:c>
      <x:c r="G23" s="22" t="str">
        <x:v>Published coverage; analyst judgment</x:v>
      </x:c>
      <x:c r="H23" s="22" t="str">
        <x:v>SS, SA, SB</x:v>
      </x:c>
      <x:c r="I23" s="50" t="str">
        <x:f>INDEX('Sources'!$D$6:$D$66,MATCH("SS",'Sources'!$A$6:$A$66,0))&amp;CHAR(10)&amp;INDEX('Sources'!$D$6:$D$66,MATCH("SA",'Sources'!$A$6:$A$66,0))&amp;CHAR(10)&amp;INDEX('Sources'!$D$6:$D$66,MATCH("SB",'Sources'!$A$6:$A$66,0))</x:f>
        <x:v>stdo://releases/v2.5.1-rc.2/standards/SPEC_METHOD.md
stdo://releases/v2.5.1-rc.2/standards/AXIOMATIC_CALCULUS.md
stdo://releases/v2.5.1-rc.2/standards/STDO_REFERENCE_FRAME_BASELINE.md</x:v>
      </x:c>
    </x:row>
    <x:row r="24" ht="54" customHeight="1">
      <x:c r="A24" s="22" t="str">
        <x:v>F19</x:v>
      </x:c>
      <x:c r="B24" s="22" t="str">
        <x:v>ST25</x:v>
      </x:c>
      <x:c r="C24" s="30" t="n">
        <x:f>INDEX('Matrix'!$C$6:$P$35,MATCH(A24,'Matrix'!$A$6:$A$35,0),MATCH(B24,'Matrix'!$C$4:$P$4,0))</x:f>
        <x:v>3</x:v>
      </x:c>
      <x:c r="D24" s="22" t="str">
        <x:v>Operational and negative tests</x:v>
      </x:c>
      <x:c r="E24" s="22" t="str">
        <x:v>STDO 2.5.1 RC2</x:v>
      </x:c>
      <x:c r="F24" s="22" t="str">
        <x:v>Claim scope, independent assessment and evidence-bound acceptance are prescribed.</x:v>
      </x:c>
      <x:c r="G24" s="22" t="str">
        <x:v>Published coverage; analyst judgment</x:v>
      </x:c>
      <x:c r="H24" s="22" t="str">
        <x:v>SS, SA, SB</x:v>
      </x:c>
      <x:c r="I24" s="50" t="str">
        <x:f>INDEX('Sources'!$D$6:$D$66,MATCH("SS",'Sources'!$A$6:$A$66,0))&amp;CHAR(10)&amp;INDEX('Sources'!$D$6:$D$66,MATCH("SA",'Sources'!$A$6:$A$66,0))&amp;CHAR(10)&amp;INDEX('Sources'!$D$6:$D$66,MATCH("SB",'Sources'!$A$6:$A$66,0))</x:f>
        <x:v>stdo://releases/v2.5.1-rc.2/standards/SPEC_METHOD.md
stdo://releases/v2.5.1-rc.2/standards/AXIOMATIC_CALCULUS.md
stdo://releases/v2.5.1-rc.2/standards/STDO_REFERENCE_FRAME_BASELINE.md</x:v>
      </x:c>
    </x:row>
    <x:row r="25" ht="54" customHeight="1">
      <x:c r="A25" s="22" t="str">
        <x:v>F20</x:v>
      </x:c>
      <x:c r="B25" s="22" t="str">
        <x:v>ST25</x:v>
      </x:c>
      <x:c r="C25" s="30" t="n">
        <x:f>INDEX('Matrix'!$C$6:$P$35,MATCH(A25,'Matrix'!$A$6:$A$35,0),MATCH(B25,'Matrix'!$C$4:$P$4,0))</x:f>
        <x:v>3</x:v>
      </x:c>
      <x:c r="D25" s="22" t="str">
        <x:v>Claim and evidence separation</x:v>
      </x:c>
      <x:c r="E25" s="22" t="str">
        <x:v>STDO 2.5.1 RC2</x:v>
      </x:c>
      <x:c r="F25" s="22" t="str">
        <x:v>Claim scope, independent assessment and evidence-bound acceptance are prescribed.</x:v>
      </x:c>
      <x:c r="G25" s="22" t="str">
        <x:v>Published coverage; analyst judgment</x:v>
      </x:c>
      <x:c r="H25" s="22" t="str">
        <x:v>SS, SA, SB</x:v>
      </x:c>
      <x:c r="I25" s="50" t="str">
        <x:f>INDEX('Sources'!$D$6:$D$66,MATCH("SS",'Sources'!$A$6:$A$66,0))&amp;CHAR(10)&amp;INDEX('Sources'!$D$6:$D$66,MATCH("SA",'Sources'!$A$6:$A$66,0))&amp;CHAR(10)&amp;INDEX('Sources'!$D$6:$D$66,MATCH("SB",'Sources'!$A$6:$A$66,0))</x:f>
        <x:v>stdo://releases/v2.5.1-rc.2/standards/SPEC_METHOD.md
stdo://releases/v2.5.1-rc.2/standards/AXIOMATIC_CALCULUS.md
stdo://releases/v2.5.1-rc.2/standards/STDO_REFERENCE_FRAME_BASELINE.md</x:v>
      </x:c>
    </x:row>
    <x:row r="26" ht="54" customHeight="1">
      <x:c r="A26" s="22" t="str">
        <x:v>F21</x:v>
      </x:c>
      <x:c r="B26" s="22" t="str">
        <x:v>ST25</x:v>
      </x:c>
      <x:c r="C26" s="30" t="n">
        <x:f>INDEX('Matrix'!$C$6:$P$35,MATCH(A26,'Matrix'!$A$6:$A$35,0),MATCH(B26,'Matrix'!$C$4:$P$4,0))</x:f>
        <x:v>3</x:v>
      </x:c>
      <x:c r="D26" s="22" t="str">
        <x:v>Provenance and auditability</x:v>
      </x:c>
      <x:c r="E26" s="22" t="str">
        <x:v>STDO 2.5.1 RC2</x:v>
      </x:c>
      <x:c r="F26" s="22" t="str">
        <x:v>Claim scope, independent assessment and evidence-bound acceptance are prescribed.</x:v>
      </x:c>
      <x:c r="G26" s="22" t="str">
        <x:v>Published coverage; analyst judgment</x:v>
      </x:c>
      <x:c r="H26" s="22" t="str">
        <x:v>SS, SA, SB</x:v>
      </x:c>
      <x:c r="I26" s="50" t="str">
        <x:f>INDEX('Sources'!$D$6:$D$66,MATCH("SS",'Sources'!$A$6:$A$66,0))&amp;CHAR(10)&amp;INDEX('Sources'!$D$6:$D$66,MATCH("SA",'Sources'!$A$6:$A$66,0))&amp;CHAR(10)&amp;INDEX('Sources'!$D$6:$D$66,MATCH("SB",'Sources'!$A$6:$A$66,0))</x:f>
        <x:v>stdo://releases/v2.5.1-rc.2/standards/SPEC_METHOD.md
stdo://releases/v2.5.1-rc.2/standards/AXIOMATIC_CALCULUS.md
stdo://releases/v2.5.1-rc.2/standards/STDO_REFERENCE_FRAME_BASELINE.md</x:v>
      </x:c>
    </x:row>
    <x:row r="27" ht="54" customHeight="1">
      <x:c r="A27" s="22" t="str">
        <x:v>F22</x:v>
      </x:c>
      <x:c r="B27" s="22" t="str">
        <x:v>ST25</x:v>
      </x:c>
      <x:c r="C27" s="30" t="n">
        <x:f>INDEX('Matrix'!$C$6:$P$35,MATCH(A27,'Matrix'!$A$6:$A$35,0),MATCH(B27,'Matrix'!$C$4:$P$4,0))</x:f>
        <x:v>3</x:v>
      </x:c>
      <x:c r="D27" s="22" t="str">
        <x:v>Change impact and specification revision</x:v>
      </x:c>
      <x:c r="E27" s="22" t="str">
        <x:v>STDO 2.5.1 RC2</x:v>
      </x:c>
      <x:c r="F27" s="22" t="str">
        <x:v>Change, checkpoints, exact release cuts and consumer adoption have owning laws.</x:v>
      </x:c>
      <x:c r="G27" s="22" t="str">
        <x:v>Published coverage; analyst judgment</x:v>
      </x:c>
      <x:c r="H27" s="22" t="str">
        <x:v>ST, SR, SS</x:v>
      </x:c>
      <x:c r="I27" s="50" t="str">
        <x:f>INDEX('Sources'!$D$6:$D$66,MATCH("ST",'Sources'!$A$6:$A$66,0))&amp;CHAR(10)&amp;INDEX('Sources'!$D$6:$D$66,MATCH("SR",'Sources'!$A$6:$A$66,0))&amp;CHAR(10)&amp;INDEX('Sources'!$D$6:$D$66,MATCH("SS",'Sources'!$A$6:$A$66,0))</x:f>
        <x:v>stdo://releases/v2.5.1-rc.2/standards/TICKET_METHOD.md
stdo://releases/v2.5.1-rc.2/standards/RELEASE_METHOD.md
stdo://releases/v2.5.1-rc.2/standards/SPEC_METHOD.md</x:v>
      </x:c>
    </x:row>
    <x:row r="28" ht="54" customHeight="1">
      <x:c r="A28" s="22" t="str">
        <x:v>F23</x:v>
      </x:c>
      <x:c r="B28" s="22" t="str">
        <x:v>ST25</x:v>
      </x:c>
      <x:c r="C28" s="30" t="n">
        <x:f>INDEX('Matrix'!$C$6:$P$35,MATCH(A28,'Matrix'!$A$6:$A$35,0),MATCH(B28,'Matrix'!$C$4:$P$4,0))</x:f>
        <x:v>3</x:v>
      </x:c>
      <x:c r="D28" s="22" t="str">
        <x:v>Versioned release and adoption</x:v>
      </x:c>
      <x:c r="E28" s="22" t="str">
        <x:v>STDO 2.5.1 RC2</x:v>
      </x:c>
      <x:c r="F28" s="22" t="str">
        <x:v>Change, checkpoints, exact release cuts and consumer adoption have owning laws.</x:v>
      </x:c>
      <x:c r="G28" s="22" t="str">
        <x:v>Published coverage; analyst judgment</x:v>
      </x:c>
      <x:c r="H28" s="22" t="str">
        <x:v>ST, SR, SS</x:v>
      </x:c>
      <x:c r="I28" s="50" t="str">
        <x:f>INDEX('Sources'!$D$6:$D$66,MATCH("ST",'Sources'!$A$6:$A$66,0))&amp;CHAR(10)&amp;INDEX('Sources'!$D$6:$D$66,MATCH("SR",'Sources'!$A$6:$A$66,0))&amp;CHAR(10)&amp;INDEX('Sources'!$D$6:$D$66,MATCH("SS",'Sources'!$A$6:$A$66,0))</x:f>
        <x:v>stdo://releases/v2.5.1-rc.2/standards/TICKET_METHOD.md
stdo://releases/v2.5.1-rc.2/standards/RELEASE_METHOD.md
stdo://releases/v2.5.1-rc.2/standards/SPEC_METHOD.md</x:v>
      </x:c>
    </x:row>
    <x:row r="29" ht="82.5" customHeight="1">
      <x:c r="A29" s="22" t="str">
        <x:v>F24</x:v>
      </x:c>
      <x:c r="B29" s="22" t="str">
        <x:v>ST25</x:v>
      </x:c>
      <x:c r="C29" s="30" t="n">
        <x:f>INDEX('Matrix'!$C$6:$P$35,MATCH(A29,'Matrix'!$A$6:$A$35,0),MATCH(B29,'Matrix'!$C$4:$P$4,0))</x:f>
        <x:v>3</x:v>
      </x:c>
      <x:c r="D29" s="22" t="str">
        <x:v>Reuse and extensibility</x:v>
      </x:c>
      <x:c r="E29" s="22" t="str">
        <x:v>STDO 2.5.1 RC2</x:v>
      </x:c>
      <x:c r="F29" s="22" t="str">
        <x:v>Generic method principles and source-linked guidance support selected native use.</x:v>
      </x:c>
      <x:c r="G29" s="22" t="str">
        <x:v>Published coverage; analyst judgment</x:v>
      </x:c>
      <x:c r="H29" s="22" t="str">
        <x:v>SS, SF, SM, SW, SQ</x:v>
      </x:c>
      <x:c r="I29" s="50" t="str">
        <x:f>INDEX('Sources'!$D$6:$D$66,MATCH("SS",'Sources'!$A$6:$A$66,0))&amp;CHAR(10)&amp;INDEX('Sources'!$D$6:$D$66,MATCH("SF",'Sources'!$A$6:$A$66,0))&amp;CHAR(10)&amp;INDEX('Sources'!$D$6:$D$66,MATCH("SM",'Sources'!$A$6:$A$66,0))&amp;CHAR(10)&amp;INDEX('Sources'!$D$6:$D$66,MATCH("SW",'Sources'!$A$6:$A$66,0))&amp;CHAR(10)&amp;INDEX('Sources'!$D$6:$D$66,MATCH("SQ",'Sources'!$A$6:$A$66,0))</x:f>
        <x:v>stdo://releases/v2.5.1-rc.2/standards/SPEC_METHOD.md
stdo://releases/v2.5.1-rc.2/standards/REFERENCE_FRAME_METHOD.md
Local STDO Representation: stdo-v2.5.1-rc.2/axiomatic-program.json
stdo://releases/v2.5.1-rc.2/standards/WRITING_GUIDE.md
STDO source project: specification/GOALS.md</x:v>
      </x:c>
    </x:row>
    <x:row r="30" ht="82.5" customHeight="1">
      <x:c r="A30" s="22" t="str">
        <x:v>F25</x:v>
      </x:c>
      <x:c r="B30" s="22" t="str">
        <x:v>ST25</x:v>
      </x:c>
      <x:c r="C30" s="30" t="n">
        <x:f>INDEX('Matrix'!$C$6:$P$35,MATCH(A30,'Matrix'!$A$6:$A$35,0),MATCH(B30,'Matrix'!$C$4:$P$4,0))</x:f>
        <x:v>3</x:v>
      </x:c>
      <x:c r="D30" s="22" t="str">
        <x:v>Process use beyond software</x:v>
      </x:c>
      <x:c r="E30" s="22" t="str">
        <x:v>STDO 2.5.1 RC2</x:v>
      </x:c>
      <x:c r="F30" s="22" t="str">
        <x:v>Generic method principles and source-linked guidance support selected native use.</x:v>
      </x:c>
      <x:c r="G30" s="22" t="str">
        <x:v>Published coverage; analyst judgment</x:v>
      </x:c>
      <x:c r="H30" s="22" t="str">
        <x:v>SS, SF, SM, SW, SQ</x:v>
      </x:c>
      <x:c r="I30" s="50" t="str">
        <x:f>INDEX('Sources'!$D$6:$D$66,MATCH("SS",'Sources'!$A$6:$A$66,0))&amp;CHAR(10)&amp;INDEX('Sources'!$D$6:$D$66,MATCH("SF",'Sources'!$A$6:$A$66,0))&amp;CHAR(10)&amp;INDEX('Sources'!$D$6:$D$66,MATCH("SM",'Sources'!$A$6:$A$66,0))&amp;CHAR(10)&amp;INDEX('Sources'!$D$6:$D$66,MATCH("SW",'Sources'!$A$6:$A$66,0))&amp;CHAR(10)&amp;INDEX('Sources'!$D$6:$D$66,MATCH("SQ",'Sources'!$A$6:$A$66,0))</x:f>
        <x:v>stdo://releases/v2.5.1-rc.2/standards/SPEC_METHOD.md
stdo://releases/v2.5.1-rc.2/standards/REFERENCE_FRAME_METHOD.md
Local STDO Representation: stdo-v2.5.1-rc.2/axiomatic-program.json
stdo://releases/v2.5.1-rc.2/standards/WRITING_GUIDE.md
STDO source project: specification/GOALS.md</x:v>
      </x:c>
    </x:row>
    <x:row r="31" ht="82.5" customHeight="1">
      <x:c r="A31" s="22" t="str">
        <x:v>F26</x:v>
      </x:c>
      <x:c r="B31" s="22" t="str">
        <x:v>ST25</x:v>
      </x:c>
      <x:c r="C31" s="30" t="n">
        <x:f>INDEX('Matrix'!$C$6:$P$35,MATCH(A31,'Matrix'!$A$6:$A$35,0),MATCH(B31,'Matrix'!$C$4:$P$4,0))</x:f>
        <x:v>2</x:v>
      </x:c>
      <x:c r="D31" s="22" t="str">
        <x:v>Self-application</x:v>
      </x:c>
      <x:c r="E31" s="22" t="str">
        <x:v>STDO 2.5.1 RC2</x:v>
      </x:c>
      <x:c r="F31" s="22" t="str">
        <x:v>STDO source consumes a released predecessor to develop successors.</x:v>
      </x:c>
      <x:c r="G31" s="22" t="str">
        <x:v>Published coverage; analyst judgment</x:v>
      </x:c>
      <x:c r="H31" s="22" t="str">
        <x:v>SS, SF, SM, SW, SQ</x:v>
      </x:c>
      <x:c r="I31" s="50" t="str">
        <x:f>INDEX('Sources'!$D$6:$D$66,MATCH("SS",'Sources'!$A$6:$A$66,0))&amp;CHAR(10)&amp;INDEX('Sources'!$D$6:$D$66,MATCH("SF",'Sources'!$A$6:$A$66,0))&amp;CHAR(10)&amp;INDEX('Sources'!$D$6:$D$66,MATCH("SM",'Sources'!$A$6:$A$66,0))&amp;CHAR(10)&amp;INDEX('Sources'!$D$6:$D$66,MATCH("SW",'Sources'!$A$6:$A$66,0))&amp;CHAR(10)&amp;INDEX('Sources'!$D$6:$D$66,MATCH("SQ",'Sources'!$A$6:$A$66,0))</x:f>
        <x:v>stdo://releases/v2.5.1-rc.2/standards/SPEC_METHOD.md
stdo://releases/v2.5.1-rc.2/standards/REFERENCE_FRAME_METHOD.md
Local STDO Representation: stdo-v2.5.1-rc.2/axiomatic-program.json
stdo://releases/v2.5.1-rc.2/standards/WRITING_GUIDE.md
STDO source project: specification/GOALS.md</x:v>
      </x:c>
    </x:row>
    <x:row r="32" ht="82.5" customHeight="1">
      <x:c r="A32" s="22" t="str">
        <x:v>F27</x:v>
      </x:c>
      <x:c r="B32" s="22" t="str">
        <x:v>ST25</x:v>
      </x:c>
      <x:c r="C32" s="30" t="n">
        <x:f>INDEX('Matrix'!$C$6:$P$35,MATCH(A32,'Matrix'!$A$6:$A$35,0),MATCH(B32,'Matrix'!$C$4:$P$4,0))</x:f>
        <x:v>1</x:v>
      </x:c>
      <x:c r="D32" s="22" t="str">
        <x:v>AI-native method representation</x:v>
      </x:c>
      <x:c r="E32" s="22" t="str">
        <x:v>STDO 2.5.1 RC2</x:v>
      </x:c>
      <x:c r="F32" s="22" t="str">
        <x:v>Current a_c.text compression only partially exposes the recovered computational model.</x:v>
      </x:c>
      <x:c r="G32" s="22" t="str">
        <x:v>Published coverage; analyst judgment</x:v>
      </x:c>
      <x:c r="H32" s="22" t="str">
        <x:v>SS, SF, SM, SW, SQ</x:v>
      </x:c>
      <x:c r="I32" s="50" t="str">
        <x:f>INDEX('Sources'!$D$6:$D$66,MATCH("SS",'Sources'!$A$6:$A$66,0))&amp;CHAR(10)&amp;INDEX('Sources'!$D$6:$D$66,MATCH("SF",'Sources'!$A$6:$A$66,0))&amp;CHAR(10)&amp;INDEX('Sources'!$D$6:$D$66,MATCH("SM",'Sources'!$A$6:$A$66,0))&amp;CHAR(10)&amp;INDEX('Sources'!$D$6:$D$66,MATCH("SW",'Sources'!$A$6:$A$66,0))&amp;CHAR(10)&amp;INDEX('Sources'!$D$6:$D$66,MATCH("SQ",'Sources'!$A$6:$A$66,0))</x:f>
        <x:v>stdo://releases/v2.5.1-rc.2/standards/SPEC_METHOD.md
stdo://releases/v2.5.1-rc.2/standards/REFERENCE_FRAME_METHOD.md
Local STDO Representation: stdo-v2.5.1-rc.2/axiomatic-program.json
stdo://releases/v2.5.1-rc.2/standards/WRITING_GUIDE.md
STDO source project: specification/GOALS.md</x:v>
      </x:c>
    </x:row>
    <x:row r="33" ht="82.5" customHeight="1">
      <x:c r="A33" s="22" t="str">
        <x:v>F28</x:v>
      </x:c>
      <x:c r="B33" s="22" t="str">
        <x:v>ST25</x:v>
      </x:c>
      <x:c r="C33" s="30" t="n">
        <x:f>INDEX('Matrix'!$C$6:$P$35,MATCH(A33,'Matrix'!$A$6:$A$35,0),MATCH(B33,'Matrix'!$C$4:$P$4,0))</x:f>
        <x:v>1</x:v>
      </x:c>
      <x:c r="D33" s="22" t="str">
        <x:v>Onboarding and reader guidance</x:v>
      </x:c>
      <x:c r="E33" s="22" t="str">
        <x:v>STDO 2.5.1 RC2</x:v>
      </x:c>
      <x:c r="F33" s="22" t="str">
        <x:v>Expert-oriented corpus and bootstrap guidance; introductory conceptual route remains weak.</x:v>
      </x:c>
      <x:c r="G33" s="22" t="str">
        <x:v>Published coverage; analyst judgment</x:v>
      </x:c>
      <x:c r="H33" s="22" t="str">
        <x:v>SS, SF, SM, SW, SQ</x:v>
      </x:c>
      <x:c r="I33" s="50" t="str">
        <x:f>INDEX('Sources'!$D$6:$D$66,MATCH("SS",'Sources'!$A$6:$A$66,0))&amp;CHAR(10)&amp;INDEX('Sources'!$D$6:$D$66,MATCH("SF",'Sources'!$A$6:$A$66,0))&amp;CHAR(10)&amp;INDEX('Sources'!$D$6:$D$66,MATCH("SM",'Sources'!$A$6:$A$66,0))&amp;CHAR(10)&amp;INDEX('Sources'!$D$6:$D$66,MATCH("SW",'Sources'!$A$6:$A$66,0))&amp;CHAR(10)&amp;INDEX('Sources'!$D$6:$D$66,MATCH("SQ",'Sources'!$A$6:$A$66,0))</x:f>
        <x:v>stdo://releases/v2.5.1-rc.2/standards/SPEC_METHOD.md
stdo://releases/v2.5.1-rc.2/standards/REFERENCE_FRAME_METHOD.md
Local STDO Representation: stdo-v2.5.1-rc.2/axiomatic-program.json
stdo://releases/v2.5.1-rc.2/standards/WRITING_GUIDE.md
STDO source project: specification/GOALS.md</x:v>
      </x:c>
    </x:row>
    <x:row r="34" ht="82.5" customHeight="1">
      <x:c r="A34" s="22" t="str">
        <x:v>F29</x:v>
      </x:c>
      <x:c r="B34" s="22" t="str">
        <x:v>ST25</x:v>
      </x:c>
      <x:c r="C34" s="30" t="n">
        <x:f>INDEX('Matrix'!$C$6:$P$35,MATCH(A34,'Matrix'!$A$6:$A$35,0),MATCH(B34,'Matrix'!$C$4:$P$4,0))</x:f>
        <x:v>1</x:v>
      </x:c>
      <x:c r="D34" s="22" t="str">
        <x:v>Evidence of effectiveness</x:v>
      </x:c>
      <x:c r="E34" s="22" t="str">
        <x:v>STDO 2.5.1 RC2</x:v>
      </x:c>
      <x:c r="F34" s="22" t="str">
        <x:v>Source records bounded native qualification; no comparative whole-method result.</x:v>
      </x:c>
      <x:c r="G34" s="22" t="str">
        <x:v>Published coverage; analyst judgment</x:v>
      </x:c>
      <x:c r="H34" s="22" t="str">
        <x:v>SS, SF, SM, SW, SQ</x:v>
      </x:c>
      <x:c r="I34" s="50" t="str">
        <x:f>INDEX('Sources'!$D$6:$D$66,MATCH("SS",'Sources'!$A$6:$A$66,0))&amp;CHAR(10)&amp;INDEX('Sources'!$D$6:$D$66,MATCH("SF",'Sources'!$A$6:$A$66,0))&amp;CHAR(10)&amp;INDEX('Sources'!$D$6:$D$66,MATCH("SM",'Sources'!$A$6:$A$66,0))&amp;CHAR(10)&amp;INDEX('Sources'!$D$6:$D$66,MATCH("SW",'Sources'!$A$6:$A$66,0))&amp;CHAR(10)&amp;INDEX('Sources'!$D$6:$D$66,MATCH("SQ",'Sources'!$A$6:$A$66,0))</x:f>
        <x:v>stdo://releases/v2.5.1-rc.2/standards/SPEC_METHOD.md
stdo://releases/v2.5.1-rc.2/standards/REFERENCE_FRAME_METHOD.md
Local STDO Representation: stdo-v2.5.1-rc.2/axiomatic-program.json
stdo://releases/v2.5.1-rc.2/standards/WRITING_GUIDE.md
STDO source project: specification/GOALS.md</x:v>
      </x:c>
    </x:row>
    <x:row r="35" ht="82.5" customHeight="1">
      <x:c r="A35" s="22" t="str">
        <x:v>F30</x:v>
      </x:c>
      <x:c r="B35" s="22" t="str">
        <x:v>ST25</x:v>
      </x:c>
      <x:c r="C35" s="30" t="n">
        <x:f>INDEX('Matrix'!$C$6:$P$35,MATCH(A35,'Matrix'!$A$6:$A$35,0),MATCH(B35,'Matrix'!$C$4:$P$4,0))</x:f>
        <x:v>1</x:v>
      </x:c>
      <x:c r="D35" s="22" t="str">
        <x:v>Work and resource measurement</x:v>
      </x:c>
      <x:c r="E35" s="22" t="str">
        <x:v>STDO 2.5.1 RC2</x:v>
      </x:c>
      <x:c r="F35" s="22" t="str">
        <x:v>Proportionality and workload assumptions are declared; selected evidence does not quantify method cost.</x:v>
      </x:c>
      <x:c r="G35" s="22" t="str">
        <x:v>Published coverage; analyst judgment</x:v>
      </x:c>
      <x:c r="H35" s="22" t="str">
        <x:v>SS, SF, SM, SW, SQ</x:v>
      </x:c>
      <x:c r="I35" s="50" t="str">
        <x:f>INDEX('Sources'!$D$6:$D$66,MATCH("SS",'Sources'!$A$6:$A$66,0))&amp;CHAR(10)&amp;INDEX('Sources'!$D$6:$D$66,MATCH("SF",'Sources'!$A$6:$A$66,0))&amp;CHAR(10)&amp;INDEX('Sources'!$D$6:$D$66,MATCH("SM",'Sources'!$A$6:$A$66,0))&amp;CHAR(10)&amp;INDEX('Sources'!$D$6:$D$66,MATCH("SW",'Sources'!$A$6:$A$66,0))&amp;CHAR(10)&amp;INDEX('Sources'!$D$6:$D$66,MATCH("SQ",'Sources'!$A$6:$A$66,0))</x:f>
        <x:v>stdo://releases/v2.5.1-rc.2/standards/SPEC_METHOD.md
stdo://releases/v2.5.1-rc.2/standards/REFERENCE_FRAME_METHOD.md
Local STDO Representation: stdo-v2.5.1-rc.2/axiomatic-program.json
stdo://releases/v2.5.1-rc.2/standards/WRITING_GUIDE.md
STDO source project: specification/GOALS.md</x:v>
      </x:c>
    </x:row>
    <x:row r="36" ht="46.5" customHeight="1">
      <x:c r="A36" s="22" t="str">
        <x:v>F01</x:v>
      </x:c>
      <x:c r="B36" s="22" t="str">
        <x:v>CODEX</x:v>
      </x:c>
      <x:c r="C36" s="30" t="n">
        <x:f>INDEX('Matrix'!$C$6:$P$35,MATCH(A36,'Matrix'!$A$6:$A$35,0),MATCH(B36,'Matrix'!$C$4:$P$4,0))</x:f>
        <x:v>3</x:v>
      </x:c>
      <x:c r="D36" s="22" t="str">
        <x:v>Intent and success criteria</x:v>
      </x:c>
      <x:c r="E36" s="22" t="str">
        <x:v>Codex workflow</x:v>
      </x:c>
      <x:c r="F36" s="22" t="str">
        <x:v>Outcome and verification contract; external specification and plan guide work.</x:v>
      </x:c>
      <x:c r="G36" s="22" t="str">
        <x:v>Published coverage; analyst judgment</x:v>
      </x:c>
      <x:c r="H36" s="22" t="str">
        <x:v>O1, O2</x:v>
      </x:c>
      <x:c r="I36" s="50" t="str">
        <x:f>INDEX('Sources'!$D$6:$D$66,MATCH("O1",'Sources'!$A$6:$A$66,0))&amp;CHAR(10)&amp;INDEX('Sources'!$D$6:$D$66,MATCH("O2",'Sources'!$A$6:$A$66,0))</x:f>
        <x:v>https://developers.openai.com/blog/run-long-horizon-tasks-with-codex
https://developers.openai.com/cookbook/examples/codex/using_goals_in_codex</x:v>
      </x:c>
    </x:row>
    <x:row r="37" ht="46.5" customHeight="1">
      <x:c r="A37" s="22" t="str">
        <x:v>F02</x:v>
      </x:c>
      <x:c r="B37" s="22" t="str">
        <x:v>CODEX</x:v>
      </x:c>
      <x:c r="C37" s="30" t="n">
        <x:f>INDEX('Matrix'!$C$6:$P$35,MATCH(A37,'Matrix'!$A$6:$A$35,0),MATCH(B37,'Matrix'!$C$4:$P$4,0))</x:f>
        <x:v>1</x:v>
      </x:c>
      <x:c r="D37" s="22" t="str">
        <x:v>Product definition and scope</x:v>
      </x:c>
      <x:c r="E37" s="22" t="str">
        <x:v>Codex workflow</x:v>
      </x:c>
      <x:c r="F37" s="22" t="str">
        <x:v>Outcome and verification contract; external specification and plan guide work.</x:v>
      </x:c>
      <x:c r="G37" s="22" t="str">
        <x:v>Published coverage; analyst judgment</x:v>
      </x:c>
      <x:c r="H37" s="22" t="str">
        <x:v>O1, O2</x:v>
      </x:c>
      <x:c r="I37" s="50" t="str">
        <x:f>INDEX('Sources'!$D$6:$D$66,MATCH("O1",'Sources'!$A$6:$A$66,0))&amp;CHAR(10)&amp;INDEX('Sources'!$D$6:$D$66,MATCH("O2",'Sources'!$A$6:$A$66,0))</x:f>
        <x:v>https://developers.openai.com/blog/run-long-horizon-tasks-with-codex
https://developers.openai.com/cookbook/examples/codex/using_goals_in_codex</x:v>
      </x:c>
    </x:row>
    <x:row r="38" ht="46.5" customHeight="1">
      <x:c r="A38" s="22" t="str">
        <x:v>F03</x:v>
      </x:c>
      <x:c r="B38" s="22" t="str">
        <x:v>CODEX</x:v>
      </x:c>
      <x:c r="C38" s="30" t="n">
        <x:f>INDEX('Matrix'!$C$6:$P$35,MATCH(A38,'Matrix'!$A$6:$A$35,0),MATCH(B38,'Matrix'!$C$4:$P$4,0))</x:f>
        <x:v>2</x:v>
      </x:c>
      <x:c r="D38" s="22" t="str">
        <x:v>Requirements before construction</x:v>
      </x:c>
      <x:c r="E38" s="22" t="str">
        <x:v>Codex workflow</x:v>
      </x:c>
      <x:c r="F38" s="22" t="str">
        <x:v>Outcome and verification contract; external specification and plan guide work.</x:v>
      </x:c>
      <x:c r="G38" s="22" t="str">
        <x:v>Published coverage; analyst judgment</x:v>
      </x:c>
      <x:c r="H38" s="22" t="str">
        <x:v>O1, O2</x:v>
      </x:c>
      <x:c r="I38" s="50" t="str">
        <x:f>INDEX('Sources'!$D$6:$D$66,MATCH("O1",'Sources'!$A$6:$A$66,0))&amp;CHAR(10)&amp;INDEX('Sources'!$D$6:$D$66,MATCH("O2",'Sources'!$A$6:$A$66,0))</x:f>
        <x:v>https://developers.openai.com/blog/run-long-horizon-tasks-with-codex
https://developers.openai.com/cookbook/examples/codex/using_goals_in_codex</x:v>
      </x:c>
    </x:row>
    <x:row r="39" ht="46.5" customHeight="1">
      <x:c r="A39" s="22" t="str">
        <x:v>F04</x:v>
      </x:c>
      <x:c r="B39" s="22" t="str">
        <x:v>CODEX</x:v>
      </x:c>
      <x:c r="C39" s="30" t="n">
        <x:f>INDEX('Matrix'!$C$6:$P$35,MATCH(A39,'Matrix'!$A$6:$A$35,0),MATCH(B39,'Matrix'!$C$4:$P$4,0))</x:f>
        <x:v>2</x:v>
      </x:c>
      <x:c r="D39" s="22" t="str">
        <x:v>Design separated from requirements</x:v>
      </x:c>
      <x:c r="E39" s="22" t="str">
        <x:v>Codex workflow</x:v>
      </x:c>
      <x:c r="F39" s="22" t="str">
        <x:v>Outcome and verification contract; external specification and plan guide work.</x:v>
      </x:c>
      <x:c r="G39" s="22" t="str">
        <x:v>Published coverage; analyst judgment</x:v>
      </x:c>
      <x:c r="H39" s="22" t="str">
        <x:v>O1, O2</x:v>
      </x:c>
      <x:c r="I39" s="50" t="str">
        <x:f>INDEX('Sources'!$D$6:$D$66,MATCH("O1",'Sources'!$A$6:$A$66,0))&amp;CHAR(10)&amp;INDEX('Sources'!$D$6:$D$66,MATCH("O2",'Sources'!$A$6:$A$66,0))</x:f>
        <x:v>https://developers.openai.com/blog/run-long-horizon-tasks-with-codex
https://developers.openai.com/cookbook/examples/codex/using_goals_in_codex</x:v>
      </x:c>
    </x:row>
    <x:row r="40" ht="46.5" customHeight="1">
      <x:c r="A40" s="22" t="str">
        <x:v>F05</x:v>
      </x:c>
      <x:c r="B40" s="22" t="str">
        <x:v>CODEX</x:v>
      </x:c>
      <x:c r="C40" s="30" t="n">
        <x:f>INDEX('Matrix'!$C$6:$P$35,MATCH(A40,'Matrix'!$A$6:$A$35,0),MATCH(B40,'Matrix'!$C$4:$P$4,0))</x:f>
        <x:v>2</x:v>
      </x:c>
      <x:c r="D40" s="22" t="str">
        <x:v>Traceability across stages</x:v>
      </x:c>
      <x:c r="E40" s="22" t="str">
        <x:v>Codex workflow</x:v>
      </x:c>
      <x:c r="F40" s="22" t="str">
        <x:v>Outcome and verification contract; external specification and plan guide work.</x:v>
      </x:c>
      <x:c r="G40" s="22" t="str">
        <x:v>Published coverage; analyst judgment</x:v>
      </x:c>
      <x:c r="H40" s="22" t="str">
        <x:v>O1, O2</x:v>
      </x:c>
      <x:c r="I40" s="50" t="str">
        <x:f>INDEX('Sources'!$D$6:$D$66,MATCH("O1",'Sources'!$A$6:$A$66,0))&amp;CHAR(10)&amp;INDEX('Sources'!$D$6:$D$66,MATCH("O2",'Sources'!$A$6:$A$66,0))</x:f>
        <x:v>https://developers.openai.com/blog/run-long-horizon-tasks-with-codex
https://developers.openai.com/cookbook/examples/codex/using_goals_in_codex</x:v>
      </x:c>
    </x:row>
    <x:row r="41" ht="46.5" customHeight="1">
      <x:c r="A41" s="22" t="str">
        <x:v>F06</x:v>
      </x:c>
      <x:c r="B41" s="22" t="str">
        <x:v>CODEX</x:v>
      </x:c>
      <x:c r="C41" s="30" t="n">
        <x:f>INDEX('Matrix'!$C$6:$P$35,MATCH(A41,'Matrix'!$A$6:$A$35,0),MATCH(B41,'Matrix'!$C$4:$P$4,0))</x:f>
        <x:v>0</x:v>
      </x:c>
      <x:c r="D41" s="22" t="str">
        <x:v>Domain concepts and identity</x:v>
      </x:c>
      <x:c r="E41" s="22" t="str">
        <x:v>Codex workflow</x:v>
      </x:c>
      <x:c r="F41" s="22" t="str">
        <x:v>Published project/context instructions do not prescribe domain identity or ownership of product meaning.</x:v>
      </x:c>
      <x:c r="G41" s="22" t="str">
        <x:v>Published coverage; analyst judgment</x:v>
      </x:c>
      <x:c r="H41" s="22" t="str">
        <x:v>O1, O3</x:v>
      </x:c>
      <x:c r="I41" s="50" t="str">
        <x:f>INDEX('Sources'!$D$6:$D$66,MATCH("O1",'Sources'!$A$6:$A$66,0))&amp;CHAR(10)&amp;INDEX('Sources'!$D$6:$D$66,MATCH("O3",'Sources'!$A$6:$A$66,0))</x:f>
        <x:v>https://developers.openai.com/blog/run-long-horizon-tasks-with-codex
https://learn.chatgpt.com/docs/agent-configuration/agents-md</x:v>
      </x:c>
    </x:row>
    <x:row r="42" ht="46.5" customHeight="1">
      <x:c r="A42" s="22" t="str">
        <x:v>F07</x:v>
      </x:c>
      <x:c r="B42" s="22" t="str">
        <x:v>CODEX</x:v>
      </x:c>
      <x:c r="C42" s="30" t="n">
        <x:f>INDEX('Matrix'!$C$6:$P$35,MATCH(A42,'Matrix'!$A$6:$A$35,0),MATCH(B42,'Matrix'!$C$4:$P$4,0))</x:f>
        <x:v>2</x:v>
      </x:c>
      <x:c r="D42" s="22" t="str">
        <x:v>Explicit inputs, outputs and contracts</x:v>
      </x:c>
      <x:c r="E42" s="22" t="str">
        <x:v>Codex workflow</x:v>
      </x:c>
      <x:c r="F42" s="22" t="str">
        <x:v>Project instructions and operating contracts; no common semantic algebra prescribed.</x:v>
      </x:c>
      <x:c r="G42" s="22" t="str">
        <x:v>Published coverage; analyst judgment</x:v>
      </x:c>
      <x:c r="H42" s="22" t="str">
        <x:v>O2, O3</x:v>
      </x:c>
      <x:c r="I42" s="50" t="str">
        <x:f>INDEX('Sources'!$D$6:$D$66,MATCH("O2",'Sources'!$A$6:$A$66,0))&amp;CHAR(10)&amp;INDEX('Sources'!$D$6:$D$66,MATCH("O3",'Sources'!$A$6:$A$66,0))</x:f>
        <x:v>https://developers.openai.com/cookbook/examples/codex/using_goals_in_codex
https://learn.chatgpt.com/docs/agent-configuration/agents-md</x:v>
      </x:c>
    </x:row>
    <x:row r="43" ht="46.5" customHeight="1">
      <x:c r="A43" s="22" t="str">
        <x:v>F08</x:v>
      </x:c>
      <x:c r="B43" s="22" t="str">
        <x:v>CODEX</x:v>
      </x:c>
      <x:c r="C43" s="30" t="n">
        <x:f>INDEX('Matrix'!$C$6:$P$35,MATCH(A43,'Matrix'!$A$6:$A$35,0),MATCH(B43,'Matrix'!$C$4:$P$4,0))</x:f>
        <x:v>2</x:v>
      </x:c>
      <x:c r="D43" s="22" t="str">
        <x:v>Invariants and semantic constraints</x:v>
      </x:c>
      <x:c r="E43" s="22" t="str">
        <x:v>Codex workflow</x:v>
      </x:c>
      <x:c r="F43" s="22" t="str">
        <x:v>Project instructions and operating contracts; no common semantic algebra prescribed.</x:v>
      </x:c>
      <x:c r="G43" s="22" t="str">
        <x:v>Published coverage; analyst judgment</x:v>
      </x:c>
      <x:c r="H43" s="22" t="str">
        <x:v>O2, O3</x:v>
      </x:c>
      <x:c r="I43" s="50" t="str">
        <x:f>INDEX('Sources'!$D$6:$D$66,MATCH("O2",'Sources'!$A$6:$A$66,0))&amp;CHAR(10)&amp;INDEX('Sources'!$D$6:$D$66,MATCH("O3",'Sources'!$A$6:$A$66,0))</x:f>
        <x:v>https://developers.openai.com/cookbook/examples/codex/using_goals_in_codex
https://learn.chatgpt.com/docs/agent-configuration/agents-md</x:v>
      </x:c>
    </x:row>
    <x:row r="44" ht="46.5" customHeight="1">
      <x:c r="A44" s="22" t="str">
        <x:v>F09</x:v>
      </x:c>
      <x:c r="B44" s="22" t="str">
        <x:v>CODEX</x:v>
      </x:c>
      <x:c r="C44" s="30" t="n">
        <x:f>INDEX('Matrix'!$C$6:$P$35,MATCH(A44,'Matrix'!$A$6:$A$35,0),MATCH(B44,'Matrix'!$C$4:$P$4,0))</x:f>
        <x:v>0</x:v>
      </x:c>
      <x:c r="D44" s="22" t="str">
        <x:v>Composition and formal reasoning</x:v>
      </x:c>
      <x:c r="E44" s="22" t="str">
        <x:v>Codex workflow</x:v>
      </x:c>
      <x:c r="F44" s="22" t="str">
        <x:v>Published instruction and Goal configuration does not prescribe construction-operation compatibility or derivation laws.</x:v>
      </x:c>
      <x:c r="G44" s="22" t="str">
        <x:v>Published coverage; analyst judgment</x:v>
      </x:c>
      <x:c r="H44" s="22" t="str">
        <x:v>O2, O3</x:v>
      </x:c>
      <x:c r="I44" s="50" t="str">
        <x:f>INDEX('Sources'!$D$6:$D$66,MATCH("O2",'Sources'!$A$6:$A$66,0))&amp;CHAR(10)&amp;INDEX('Sources'!$D$6:$D$66,MATCH("O3",'Sources'!$A$6:$A$66,0))</x:f>
        <x:v>https://developers.openai.com/cookbook/examples/codex/using_goals_in_codex
https://learn.chatgpt.com/docs/agent-configuration/agents-md</x:v>
      </x:c>
    </x:row>
    <x:row r="45" ht="54" customHeight="1">
      <x:c r="A45" s="22" t="str">
        <x:v>F10</x:v>
      </x:c>
      <x:c r="B45" s="22" t="str">
        <x:v>CODEX</x:v>
      </x:c>
      <x:c r="C45" s="30" t="n">
        <x:f>INDEX('Matrix'!$C$6:$P$35,MATCH(A45,'Matrix'!$A$6:$A$35,0),MATCH(B45,'Matrix'!$C$4:$P$4,0))</x:f>
        <x:v>3</x:v>
      </x:c>
      <x:c r="D45" s="22" t="str">
        <x:v>Relevant context selection</x:v>
      </x:c>
      <x:c r="E45" s="22" t="str">
        <x:v>Codex workflow</x:v>
      </x:c>
      <x:c r="F45" s="22" t="str">
        <x:v>Goals, durable artifacts, milestones and bounded stopping policies guide continuation.</x:v>
      </x:c>
      <x:c r="G45" s="22" t="str">
        <x:v>Published coverage; analyst judgment</x:v>
      </x:c>
      <x:c r="H45" s="22" t="str">
        <x:v>O1, O2, O3</x:v>
      </x:c>
      <x:c r="I45" s="50" t="str">
        <x:f>INDEX('Sources'!$D$6:$D$66,MATCH("O1",'Sources'!$A$6:$A$66,0))&amp;CHAR(10)&amp;INDEX('Sources'!$D$6:$D$66,MATCH("O2",'Sources'!$A$6:$A$66,0))&amp;CHAR(10)&amp;INDEX('Sources'!$D$6:$D$66,MATCH("O3",'Sources'!$A$6:$A$66,0))</x:f>
        <x:v>https://developers.openai.com/blog/run-long-horizon-tasks-with-codex
https://developers.openai.com/cookbook/examples/codex/using_goals_in_codex
https://learn.chatgpt.com/docs/agent-configuration/agents-md</x:v>
      </x:c>
    </x:row>
    <x:row r="46" ht="54" customHeight="1">
      <x:c r="A46" s="22" t="str">
        <x:v>F11</x:v>
      </x:c>
      <x:c r="B46" s="22" t="str">
        <x:v>CODEX</x:v>
      </x:c>
      <x:c r="C46" s="30" t="n">
        <x:f>INDEX('Matrix'!$C$6:$P$35,MATCH(A46,'Matrix'!$A$6:$A$35,0),MATCH(B46,'Matrix'!$C$4:$P$4,0))</x:f>
        <x:v>2</x:v>
      </x:c>
      <x:c r="D46" s="22" t="str">
        <x:v>Attention fit and proportionality</x:v>
      </x:c>
      <x:c r="E46" s="22" t="str">
        <x:v>Codex workflow</x:v>
      </x:c>
      <x:c r="F46" s="22" t="str">
        <x:v>Goals, durable artifacts, milestones and bounded stopping policies guide continuation.</x:v>
      </x:c>
      <x:c r="G46" s="22" t="str">
        <x:v>Published coverage; analyst judgment</x:v>
      </x:c>
      <x:c r="H46" s="22" t="str">
        <x:v>O1, O2, O3</x:v>
      </x:c>
      <x:c r="I46" s="50" t="str">
        <x:f>INDEX('Sources'!$D$6:$D$66,MATCH("O1",'Sources'!$A$6:$A$66,0))&amp;CHAR(10)&amp;INDEX('Sources'!$D$6:$D$66,MATCH("O2",'Sources'!$A$6:$A$66,0))&amp;CHAR(10)&amp;INDEX('Sources'!$D$6:$D$66,MATCH("O3",'Sources'!$A$6:$A$66,0))</x:f>
        <x:v>https://developers.openai.com/blog/run-long-horizon-tasks-with-codex
https://developers.openai.com/cookbook/examples/codex/using_goals_in_codex
https://learn.chatgpt.com/docs/agent-configuration/agents-md</x:v>
      </x:c>
    </x:row>
    <x:row r="47" ht="54" customHeight="1">
      <x:c r="A47" s="22" t="str">
        <x:v>F12</x:v>
      </x:c>
      <x:c r="B47" s="22" t="str">
        <x:v>CODEX</x:v>
      </x:c>
      <x:c r="C47" s="30" t="n">
        <x:f>INDEX('Matrix'!$C$6:$P$35,MATCH(A47,'Matrix'!$A$6:$A$35,0),MATCH(B47,'Matrix'!$C$4:$P$4,0))</x:f>
        <x:v>3</x:v>
      </x:c>
      <x:c r="D47" s="22" t="str">
        <x:v>Bounded probabilistic construction</x:v>
      </x:c>
      <x:c r="E47" s="22" t="str">
        <x:v>Codex workflow</x:v>
      </x:c>
      <x:c r="F47" s="22" t="str">
        <x:v>Goals, durable artifacts, milestones and bounded stopping policies guide continuation.</x:v>
      </x:c>
      <x:c r="G47" s="22" t="str">
        <x:v>Published coverage; analyst judgment</x:v>
      </x:c>
      <x:c r="H47" s="22" t="str">
        <x:v>O1, O2, O3</x:v>
      </x:c>
      <x:c r="I47" s="50" t="str">
        <x:f>INDEX('Sources'!$D$6:$D$66,MATCH("O1",'Sources'!$A$6:$A$66,0))&amp;CHAR(10)&amp;INDEX('Sources'!$D$6:$D$66,MATCH("O2",'Sources'!$A$6:$A$66,0))&amp;CHAR(10)&amp;INDEX('Sources'!$D$6:$D$66,MATCH("O3",'Sources'!$A$6:$A$66,0))</x:f>
        <x:v>https://developers.openai.com/blog/run-long-horizon-tasks-with-codex
https://developers.openai.com/cookbook/examples/codex/using_goals_in_codex
https://learn.chatgpt.com/docs/agent-configuration/agents-md</x:v>
      </x:c>
    </x:row>
    <x:row r="48" ht="54" customHeight="1">
      <x:c r="A48" s="22" t="str">
        <x:v>F13</x:v>
      </x:c>
      <x:c r="B48" s="22" t="str">
        <x:v>CODEX</x:v>
      </x:c>
      <x:c r="C48" s="30" t="n">
        <x:f>INDEX('Matrix'!$C$6:$P$35,MATCH(A48,'Matrix'!$A$6:$A$35,0),MATCH(B48,'Matrix'!$C$4:$P$4,0))</x:f>
        <x:v>3</x:v>
      </x:c>
      <x:c r="D48" s="22" t="str">
        <x:v>Decomposition and recursive workflows</x:v>
      </x:c>
      <x:c r="E48" s="22" t="str">
        <x:v>Codex workflow</x:v>
      </x:c>
      <x:c r="F48" s="22" t="str">
        <x:v>Goals, durable artifacts, milestones and bounded stopping policies guide continuation.</x:v>
      </x:c>
      <x:c r="G48" s="22" t="str">
        <x:v>Published coverage; analyst judgment</x:v>
      </x:c>
      <x:c r="H48" s="22" t="str">
        <x:v>O1, O2, O3</x:v>
      </x:c>
      <x:c r="I48" s="50" t="str">
        <x:f>INDEX('Sources'!$D$6:$D$66,MATCH("O1",'Sources'!$A$6:$A$66,0))&amp;CHAR(10)&amp;INDEX('Sources'!$D$6:$D$66,MATCH("O2",'Sources'!$A$6:$A$66,0))&amp;CHAR(10)&amp;INDEX('Sources'!$D$6:$D$66,MATCH("O3",'Sources'!$A$6:$A$66,0))</x:f>
        <x:v>https://developers.openai.com/blog/run-long-horizon-tasks-with-codex
https://developers.openai.com/cookbook/examples/codex/using_goals_in_codex
https://learn.chatgpt.com/docs/agent-configuration/agents-md</x:v>
      </x:c>
    </x:row>
    <x:row r="49" ht="54" customHeight="1">
      <x:c r="A49" s="22" t="str">
        <x:v>F14</x:v>
      </x:c>
      <x:c r="B49" s="22" t="str">
        <x:v>CODEX</x:v>
      </x:c>
      <x:c r="C49" s="30" t="n">
        <x:f>INDEX('Matrix'!$C$6:$P$35,MATCH(A49,'Matrix'!$A$6:$A$35,0),MATCH(B49,'Matrix'!$C$4:$P$4,0))</x:f>
        <x:v>3</x:v>
      </x:c>
      <x:c r="D49" s="22" t="str">
        <x:v>Durable state and resumption</x:v>
      </x:c>
      <x:c r="E49" s="22" t="str">
        <x:v>Codex workflow</x:v>
      </x:c>
      <x:c r="F49" s="22" t="str">
        <x:v>Goals, durable artifacts, milestones and bounded stopping policies guide continuation.</x:v>
      </x:c>
      <x:c r="G49" s="22" t="str">
        <x:v>Published coverage; analyst judgment</x:v>
      </x:c>
      <x:c r="H49" s="22" t="str">
        <x:v>O1, O2, O3</x:v>
      </x:c>
      <x:c r="I49" s="50" t="str">
        <x:f>INDEX('Sources'!$D$6:$D$66,MATCH("O1",'Sources'!$A$6:$A$66,0))&amp;CHAR(10)&amp;INDEX('Sources'!$D$6:$D$66,MATCH("O2",'Sources'!$A$6:$A$66,0))&amp;CHAR(10)&amp;INDEX('Sources'!$D$6:$D$66,MATCH("O3",'Sources'!$A$6:$A$66,0))</x:f>
        <x:v>https://developers.openai.com/blog/run-long-horizon-tasks-with-codex
https://developers.openai.com/cookbook/examples/codex/using_goals_in_codex
https://learn.chatgpt.com/docs/agent-configuration/agents-md</x:v>
      </x:c>
    </x:row>
    <x:row r="50" ht="54" customHeight="1">
      <x:c r="A50" s="22" t="str">
        <x:v>F15</x:v>
      </x:c>
      <x:c r="B50" s="22" t="str">
        <x:v>CODEX</x:v>
      </x:c>
      <x:c r="C50" s="30" t="n">
        <x:f>INDEX('Matrix'!$C$6:$P$35,MATCH(A50,'Matrix'!$A$6:$A$35,0),MATCH(B50,'Matrix'!$C$4:$P$4,0))</x:f>
        <x:v>3</x:v>
      </x:c>
      <x:c r="D50" s="22" t="str">
        <x:v>Observation and next-action feedback</x:v>
      </x:c>
      <x:c r="E50" s="22" t="str">
        <x:v>Codex workflow</x:v>
      </x:c>
      <x:c r="F50" s="22" t="str">
        <x:v>Goals, durable artifacts, milestones and bounded stopping policies guide continuation.</x:v>
      </x:c>
      <x:c r="G50" s="22" t="str">
        <x:v>Published coverage; analyst judgment</x:v>
      </x:c>
      <x:c r="H50" s="22" t="str">
        <x:v>O1, O2, O3</x:v>
      </x:c>
      <x:c r="I50" s="50" t="str">
        <x:f>INDEX('Sources'!$D$6:$D$66,MATCH("O1",'Sources'!$A$6:$A$66,0))&amp;CHAR(10)&amp;INDEX('Sources'!$D$6:$D$66,MATCH("O2",'Sources'!$A$6:$A$66,0))&amp;CHAR(10)&amp;INDEX('Sources'!$D$6:$D$66,MATCH("O3",'Sources'!$A$6:$A$66,0))</x:f>
        <x:v>https://developers.openai.com/blog/run-long-horizon-tasks-with-codex
https://developers.openai.com/cookbook/examples/codex/using_goals_in_codex
https://learn.chatgpt.com/docs/agent-configuration/agents-md</x:v>
      </x:c>
    </x:row>
    <x:row r="51" ht="54" customHeight="1">
      <x:c r="A51" s="22" t="str">
        <x:v>F16</x:v>
      </x:c>
      <x:c r="B51" s="22" t="str">
        <x:v>CODEX</x:v>
      </x:c>
      <x:c r="C51" s="30" t="n">
        <x:f>INDEX('Matrix'!$C$6:$P$35,MATCH(A51,'Matrix'!$A$6:$A$35,0),MATCH(B51,'Matrix'!$C$4:$P$4,0))</x:f>
        <x:v>3</x:v>
      </x:c>
      <x:c r="D51" s="22" t="str">
        <x:v>Uncertainty, stops and re-entry</x:v>
      </x:c>
      <x:c r="E51" s="22" t="str">
        <x:v>Codex workflow</x:v>
      </x:c>
      <x:c r="F51" s="22" t="str">
        <x:v>Goals, durable artifacts, milestones and bounded stopping policies guide continuation.</x:v>
      </x:c>
      <x:c r="G51" s="22" t="str">
        <x:v>Published coverage; analyst judgment</x:v>
      </x:c>
      <x:c r="H51" s="22" t="str">
        <x:v>O1, O2, O3</x:v>
      </x:c>
      <x:c r="I51" s="50" t="str">
        <x:f>INDEX('Sources'!$D$6:$D$66,MATCH("O1",'Sources'!$A$6:$A$66,0))&amp;CHAR(10)&amp;INDEX('Sources'!$D$6:$D$66,MATCH("O2",'Sources'!$A$6:$A$66,0))&amp;CHAR(10)&amp;INDEX('Sources'!$D$6:$D$66,MATCH("O3",'Sources'!$A$6:$A$66,0))</x:f>
        <x:v>https://developers.openai.com/blog/run-long-horizon-tasks-with-codex
https://developers.openai.com/cookbook/examples/codex/using_goals_in_codex
https://learn.chatgpt.com/docs/agent-configuration/agents-md</x:v>
      </x:c>
    </x:row>
    <x:row r="52" ht="54" customHeight="1">
      <x:c r="A52" s="22" t="str">
        <x:v>F17</x:v>
      </x:c>
      <x:c r="B52" s="22" t="str">
        <x:v>CODEX</x:v>
      </x:c>
      <x:c r="C52" s="30" t="n">
        <x:f>INDEX('Matrix'!$C$6:$P$35,MATCH(A52,'Matrix'!$A$6:$A$35,0),MATCH(B52,'Matrix'!$C$4:$P$4,0))</x:f>
        <x:v>3</x:v>
      </x:c>
      <x:c r="D52" s="22" t="str">
        <x:v>Permissions and effect boundaries</x:v>
      </x:c>
      <x:c r="E52" s="22" t="str">
        <x:v>Codex workflow</x:v>
      </x:c>
      <x:c r="F52" s="22" t="str">
        <x:v>Tests, review, sandbox and approval policies provide operational controls.</x:v>
      </x:c>
      <x:c r="G52" s="22" t="str">
        <x:v>Published coverage; analyst judgment</x:v>
      </x:c>
      <x:c r="H52" s="22" t="str">
        <x:v>O4, O5, O2</x:v>
      </x:c>
      <x:c r="I52" s="50" t="str">
        <x:f>INDEX('Sources'!$D$6:$D$66,MATCH("O4",'Sources'!$A$6:$A$66,0))&amp;CHAR(10)&amp;INDEX('Sources'!$D$6:$D$66,MATCH("O5",'Sources'!$A$6:$A$66,0))&amp;CHAR(10)&amp;INDEX('Sources'!$D$6:$D$66,MATCH("O2",'Sources'!$A$6:$A$66,0))</x:f>
        <x:v>https://learn.chatgpt.com/docs/code-review
https://learn.chatgpt.com/docs/agent-approvals-security
https://developers.openai.com/cookbook/examples/codex/using_goals_in_codex</x:v>
      </x:c>
    </x:row>
    <x:row r="53" ht="54" customHeight="1">
      <x:c r="A53" s="22" t="str">
        <x:v>F18</x:v>
      </x:c>
      <x:c r="B53" s="22" t="str">
        <x:v>CODEX</x:v>
      </x:c>
      <x:c r="C53" s="30" t="n">
        <x:f>INDEX('Matrix'!$C$6:$P$35,MATCH(A53,'Matrix'!$A$6:$A$35,0),MATCH(B53,'Matrix'!$C$4:$P$4,0))</x:f>
        <x:v>2</x:v>
      </x:c>
      <x:c r="D53" s="22" t="str">
        <x:v>Independent assessment</x:v>
      </x:c>
      <x:c r="E53" s="22" t="str">
        <x:v>Codex workflow</x:v>
      </x:c>
      <x:c r="F53" s="22" t="str">
        <x:v>Detached review is available; universal independent qualification is not prescribed.</x:v>
      </x:c>
      <x:c r="G53" s="22" t="str">
        <x:v>Published coverage; analyst judgment</x:v>
      </x:c>
      <x:c r="H53" s="22" t="str">
        <x:v>O4, O5, O2</x:v>
      </x:c>
      <x:c r="I53" s="50" t="str">
        <x:f>INDEX('Sources'!$D$6:$D$66,MATCH("O4",'Sources'!$A$6:$A$66,0))&amp;CHAR(10)&amp;INDEX('Sources'!$D$6:$D$66,MATCH("O5",'Sources'!$A$6:$A$66,0))&amp;CHAR(10)&amp;INDEX('Sources'!$D$6:$D$66,MATCH("O2",'Sources'!$A$6:$A$66,0))</x:f>
        <x:v>https://learn.chatgpt.com/docs/code-review
https://learn.chatgpt.com/docs/agent-approvals-security
https://developers.openai.com/cookbook/examples/codex/using_goals_in_codex</x:v>
      </x:c>
    </x:row>
    <x:row r="54" ht="54" customHeight="1">
      <x:c r="A54" s="22" t="str">
        <x:v>F19</x:v>
      </x:c>
      <x:c r="B54" s="22" t="str">
        <x:v>CODEX</x:v>
      </x:c>
      <x:c r="C54" s="30" t="n">
        <x:f>INDEX('Matrix'!$C$6:$P$35,MATCH(A54,'Matrix'!$A$6:$A$35,0),MATCH(B54,'Matrix'!$C$4:$P$4,0))</x:f>
        <x:v>3</x:v>
      </x:c>
      <x:c r="D54" s="22" t="str">
        <x:v>Operational and negative tests</x:v>
      </x:c>
      <x:c r="E54" s="22" t="str">
        <x:v>Codex workflow</x:v>
      </x:c>
      <x:c r="F54" s="22" t="str">
        <x:v>Tests, review, sandbox and approval policies provide operational controls.</x:v>
      </x:c>
      <x:c r="G54" s="22" t="str">
        <x:v>Published coverage; analyst judgment</x:v>
      </x:c>
      <x:c r="H54" s="22" t="str">
        <x:v>O4, O5, O2</x:v>
      </x:c>
      <x:c r="I54" s="50" t="str">
        <x:f>INDEX('Sources'!$D$6:$D$66,MATCH("O4",'Sources'!$A$6:$A$66,0))&amp;CHAR(10)&amp;INDEX('Sources'!$D$6:$D$66,MATCH("O5",'Sources'!$A$6:$A$66,0))&amp;CHAR(10)&amp;INDEX('Sources'!$D$6:$D$66,MATCH("O2",'Sources'!$A$6:$A$66,0))</x:f>
        <x:v>https://learn.chatgpt.com/docs/code-review
https://learn.chatgpt.com/docs/agent-approvals-security
https://developers.openai.com/cookbook/examples/codex/using_goals_in_codex</x:v>
      </x:c>
    </x:row>
    <x:row r="55" ht="54" customHeight="1">
      <x:c r="A55" s="22" t="str">
        <x:v>F20</x:v>
      </x:c>
      <x:c r="B55" s="22" t="str">
        <x:v>CODEX</x:v>
      </x:c>
      <x:c r="C55" s="30" t="n">
        <x:f>INDEX('Matrix'!$C$6:$P$35,MATCH(A55,'Matrix'!$A$6:$A$35,0),MATCH(B55,'Matrix'!$C$4:$P$4,0))</x:f>
        <x:v>2</x:v>
      </x:c>
      <x:c r="D55" s="22" t="str">
        <x:v>Claim and evidence separation</x:v>
      </x:c>
      <x:c r="E55" s="22" t="str">
        <x:v>Codex workflow</x:v>
      </x:c>
      <x:c r="F55" s="22" t="str">
        <x:v>Tests, review, sandbox and approval policies provide operational controls.</x:v>
      </x:c>
      <x:c r="G55" s="22" t="str">
        <x:v>Published coverage; analyst judgment</x:v>
      </x:c>
      <x:c r="H55" s="22" t="str">
        <x:v>O4, O5, O2</x:v>
      </x:c>
      <x:c r="I55" s="50" t="str">
        <x:f>INDEX('Sources'!$D$6:$D$66,MATCH("O4",'Sources'!$A$6:$A$66,0))&amp;CHAR(10)&amp;INDEX('Sources'!$D$6:$D$66,MATCH("O5",'Sources'!$A$6:$A$66,0))&amp;CHAR(10)&amp;INDEX('Sources'!$D$6:$D$66,MATCH("O2",'Sources'!$A$6:$A$66,0))</x:f>
        <x:v>https://learn.chatgpt.com/docs/code-review
https://learn.chatgpt.com/docs/agent-approvals-security
https://developers.openai.com/cookbook/examples/codex/using_goals_in_codex</x:v>
      </x:c>
    </x:row>
    <x:row r="56" ht="54" customHeight="1">
      <x:c r="A56" s="22" t="str">
        <x:v>F21</x:v>
      </x:c>
      <x:c r="B56" s="22" t="str">
        <x:v>CODEX</x:v>
      </x:c>
      <x:c r="C56" s="30" t="n">
        <x:f>INDEX('Matrix'!$C$6:$P$35,MATCH(A56,'Matrix'!$A$6:$A$35,0),MATCH(B56,'Matrix'!$C$4:$P$4,0))</x:f>
        <x:v>2</x:v>
      </x:c>
      <x:c r="D56" s="22" t="str">
        <x:v>Provenance and auditability</x:v>
      </x:c>
      <x:c r="E56" s="22" t="str">
        <x:v>Codex workflow</x:v>
      </x:c>
      <x:c r="F56" s="22" t="str">
        <x:v>Tests, review, sandbox and approval policies provide operational controls.</x:v>
      </x:c>
      <x:c r="G56" s="22" t="str">
        <x:v>Published coverage; analyst judgment</x:v>
      </x:c>
      <x:c r="H56" s="22" t="str">
        <x:v>O4, O5, O2</x:v>
      </x:c>
      <x:c r="I56" s="50" t="str">
        <x:f>INDEX('Sources'!$D$6:$D$66,MATCH("O4",'Sources'!$A$6:$A$66,0))&amp;CHAR(10)&amp;INDEX('Sources'!$D$6:$D$66,MATCH("O5",'Sources'!$A$6:$A$66,0))&amp;CHAR(10)&amp;INDEX('Sources'!$D$6:$D$66,MATCH("O2",'Sources'!$A$6:$A$66,0))</x:f>
        <x:v>https://learn.chatgpt.com/docs/code-review
https://learn.chatgpt.com/docs/agent-approvals-security
https://developers.openai.com/cookbook/examples/codex/using_goals_in_codex</x:v>
      </x:c>
    </x:row>
    <x:row r="57" ht="46.5" customHeight="1">
      <x:c r="A57" s="22" t="str">
        <x:v>F22</x:v>
      </x:c>
      <x:c r="B57" s="22" t="str">
        <x:v>CODEX</x:v>
      </x:c>
      <x:c r="C57" s="30" t="n">
        <x:f>INDEX('Matrix'!$C$6:$P$35,MATCH(A57,'Matrix'!$A$6:$A$35,0),MATCH(B57,'Matrix'!$C$4:$P$4,0))</x:f>
        <x:v>1</x:v>
      </x:c>
      <x:c r="D57" s="22" t="str">
        <x:v>Change impact and specification revision</x:v>
      </x:c>
      <x:c r="E57" s="22" t="str">
        <x:v>Codex workflow</x:v>
      </x:c>
      <x:c r="F57" s="22" t="str">
        <x:v>Steering and retained work support basic revision; no explicit rule requalifies or retains unaffected valid results.</x:v>
      </x:c>
      <x:c r="G57" s="22" t="str">
        <x:v>Published coverage; analyst judgment</x:v>
      </x:c>
      <x:c r="H57" s="22" t="str">
        <x:v>O1, O2</x:v>
      </x:c>
      <x:c r="I57" s="50" t="str">
        <x:f>INDEX('Sources'!$D$6:$D$66,MATCH("O1",'Sources'!$A$6:$A$66,0))&amp;CHAR(10)&amp;INDEX('Sources'!$D$6:$D$66,MATCH("O2",'Sources'!$A$6:$A$66,0))</x:f>
        <x:v>https://developers.openai.com/blog/run-long-horizon-tasks-with-codex
https://developers.openai.com/cookbook/examples/codex/using_goals_in_codex</x:v>
      </x:c>
    </x:row>
    <x:row r="58" ht="46.5" customHeight="1">
      <x:c r="A58" s="22" t="str">
        <x:v>F23</x:v>
      </x:c>
      <x:c r="B58" s="22" t="str">
        <x:v>CODEX</x:v>
      </x:c>
      <x:c r="C58" s="30" t="n">
        <x:f>INDEX('Matrix'!$C$6:$P$35,MATCH(A58,'Matrix'!$A$6:$A$35,0),MATCH(B58,'Matrix'!$C$4:$P$4,0))</x:f>
        <x:v>0</x:v>
      </x:c>
      <x:c r="D58" s="22" t="str">
        <x:v>Versioned release and adoption</x:v>
      </x:c>
      <x:c r="E58" s="22" t="str">
        <x:v>Codex workflow</x:v>
      </x:c>
      <x:c r="F58" s="22" t="str">
        <x:v>PRs, commits and diff checks do not prescribe product release qualification or adoption of a changed governing basis.</x:v>
      </x:c>
      <x:c r="G58" s="22" t="str">
        <x:v>Published coverage; analyst judgment</x:v>
      </x:c>
      <x:c r="H58" s="22" t="str">
        <x:v>O1, O4</x:v>
      </x:c>
      <x:c r="I58" s="50" t="str">
        <x:f>INDEX('Sources'!$D$6:$D$66,MATCH("O1",'Sources'!$A$6:$A$66,0))&amp;CHAR(10)&amp;INDEX('Sources'!$D$6:$D$66,MATCH("O4",'Sources'!$A$6:$A$66,0))</x:f>
        <x:v>https://developers.openai.com/blog/run-long-horizon-tasks-with-codex
https://learn.chatgpt.com/docs/code-review</x:v>
      </x:c>
    </x:row>
    <x:row r="59" ht="54" customHeight="1">
      <x:c r="A59" s="22" t="str">
        <x:v>F24</x:v>
      </x:c>
      <x:c r="B59" s="22" t="str">
        <x:v>CODEX</x:v>
      </x:c>
      <x:c r="C59" s="30" t="n">
        <x:f>INDEX('Matrix'!$C$6:$P$35,MATCH(A59,'Matrix'!$A$6:$A$35,0),MATCH(B59,'Matrix'!$C$4:$P$4,0))</x:f>
        <x:v>3</x:v>
      </x:c>
      <x:c r="D59" s="22" t="str">
        <x:v>Reuse and extensibility</x:v>
      </x:c>
      <x:c r="E59" s="22" t="str">
        <x:v>Codex workflow</x:v>
      </x:c>
      <x:c r="F59" s="22" t="str">
        <x:v>Reusable instructions and sustained-work guidance apply beyond code.</x:v>
      </x:c>
      <x:c r="G59" s="22" t="str">
        <x:v>Published coverage; analyst judgment</x:v>
      </x:c>
      <x:c r="H59" s="22" t="str">
        <x:v>O1, O2, O3</x:v>
      </x:c>
      <x:c r="I59" s="50" t="str">
        <x:f>INDEX('Sources'!$D$6:$D$66,MATCH("O1",'Sources'!$A$6:$A$66,0))&amp;CHAR(10)&amp;INDEX('Sources'!$D$6:$D$66,MATCH("O2",'Sources'!$A$6:$A$66,0))&amp;CHAR(10)&amp;INDEX('Sources'!$D$6:$D$66,MATCH("O3",'Sources'!$A$6:$A$66,0))</x:f>
        <x:v>https://developers.openai.com/blog/run-long-horizon-tasks-with-codex
https://developers.openai.com/cookbook/examples/codex/using_goals_in_codex
https://learn.chatgpt.com/docs/agent-configuration/agents-md</x:v>
      </x:c>
    </x:row>
    <x:row r="60" ht="54" customHeight="1">
      <x:c r="A60" s="22" t="str">
        <x:v>F25</x:v>
      </x:c>
      <x:c r="B60" s="22" t="str">
        <x:v>CODEX</x:v>
      </x:c>
      <x:c r="C60" s="30" t="n">
        <x:f>INDEX('Matrix'!$C$6:$P$35,MATCH(A60,'Matrix'!$A$6:$A$35,0),MATCH(B60,'Matrix'!$C$4:$P$4,0))</x:f>
        <x:v>3</x:v>
      </x:c>
      <x:c r="D60" s="22" t="str">
        <x:v>Process use beyond software</x:v>
      </x:c>
      <x:c r="E60" s="22" t="str">
        <x:v>Codex workflow</x:v>
      </x:c>
      <x:c r="F60" s="22" t="str">
        <x:v>Reusable instructions and sustained-work guidance apply beyond code.</x:v>
      </x:c>
      <x:c r="G60" s="22" t="str">
        <x:v>Published coverage; analyst judgment</x:v>
      </x:c>
      <x:c r="H60" s="22" t="str">
        <x:v>O1, O2, O3</x:v>
      </x:c>
      <x:c r="I60" s="50" t="str">
        <x:f>INDEX('Sources'!$D$6:$D$66,MATCH("O1",'Sources'!$A$6:$A$66,0))&amp;CHAR(10)&amp;INDEX('Sources'!$D$6:$D$66,MATCH("O2",'Sources'!$A$6:$A$66,0))&amp;CHAR(10)&amp;INDEX('Sources'!$D$6:$D$66,MATCH("O3",'Sources'!$A$6:$A$66,0))</x:f>
        <x:v>https://developers.openai.com/blog/run-long-horizon-tasks-with-codex
https://developers.openai.com/cookbook/examples/codex/using_goals_in_codex
https://learn.chatgpt.com/docs/agent-configuration/agents-md</x:v>
      </x:c>
    </x:row>
    <x:row r="61" ht="54" customHeight="1">
      <x:c r="A61" s="22" t="str">
        <x:v>F26</x:v>
      </x:c>
      <x:c r="B61" s="22" t="str">
        <x:v>CODEX</x:v>
      </x:c>
      <x:c r="C61" s="30" t="n">
        <x:f>INDEX('Matrix'!$C$6:$P$35,MATCH(A61,'Matrix'!$A$6:$A$35,0),MATCH(B61,'Matrix'!$C$4:$P$4,0))</x:f>
        <x:v>1</x:v>
      </x:c>
      <x:c r="D61" s="22" t="str">
        <x:v>Self-application</x:v>
      </x:c>
      <x:c r="E61" s="22" t="str">
        <x:v>Codex workflow</x:v>
      </x:c>
      <x:c r="F61" s="22" t="str">
        <x:v>Internal Codex use is documented; exact methodological self-definition is not established.</x:v>
      </x:c>
      <x:c r="G61" s="22" t="str">
        <x:v>Published coverage; analyst judgment</x:v>
      </x:c>
      <x:c r="H61" s="22" t="str">
        <x:v>O1, O2, O3</x:v>
      </x:c>
      <x:c r="I61" s="50" t="str">
        <x:f>INDEX('Sources'!$D$6:$D$66,MATCH("O1",'Sources'!$A$6:$A$66,0))&amp;CHAR(10)&amp;INDEX('Sources'!$D$6:$D$66,MATCH("O2",'Sources'!$A$6:$A$66,0))&amp;CHAR(10)&amp;INDEX('Sources'!$D$6:$D$66,MATCH("O3",'Sources'!$A$6:$A$66,0))</x:f>
        <x:v>https://developers.openai.com/blog/run-long-horizon-tasks-with-codex
https://developers.openai.com/cookbook/examples/codex/using_goals_in_codex
https://learn.chatgpt.com/docs/agent-configuration/agents-md</x:v>
      </x:c>
    </x:row>
    <x:row r="62" ht="54" customHeight="1">
      <x:c r="A62" s="22" t="str">
        <x:v>F27</x:v>
      </x:c>
      <x:c r="B62" s="22" t="str">
        <x:v>CODEX</x:v>
      </x:c>
      <x:c r="C62" s="30" t="n">
        <x:f>INDEX('Matrix'!$C$6:$P$35,MATCH(A62,'Matrix'!$A$6:$A$35,0),MATCH(B62,'Matrix'!$C$4:$P$4,0))</x:f>
        <x:v>2</x:v>
      </x:c>
      <x:c r="D62" s="22" t="str">
        <x:v>AI-native method representation</x:v>
      </x:c>
      <x:c r="E62" s="22" t="str">
        <x:v>Codex workflow</x:v>
      </x:c>
      <x:c r="F62" s="22" t="str">
        <x:v>Reusable instructions and sustained-work guidance apply beyond code.</x:v>
      </x:c>
      <x:c r="G62" s="22" t="str">
        <x:v>Published coverage; analyst judgment</x:v>
      </x:c>
      <x:c r="H62" s="22" t="str">
        <x:v>O1, O2, O3</x:v>
      </x:c>
      <x:c r="I62" s="50" t="str">
        <x:f>INDEX('Sources'!$D$6:$D$66,MATCH("O1",'Sources'!$A$6:$A$66,0))&amp;CHAR(10)&amp;INDEX('Sources'!$D$6:$D$66,MATCH("O2",'Sources'!$A$6:$A$66,0))&amp;CHAR(10)&amp;INDEX('Sources'!$D$6:$D$66,MATCH("O3",'Sources'!$A$6:$A$66,0))</x:f>
        <x:v>https://developers.openai.com/blog/run-long-horizon-tasks-with-codex
https://developers.openai.com/cookbook/examples/codex/using_goals_in_codex
https://learn.chatgpt.com/docs/agent-configuration/agents-md</x:v>
      </x:c>
    </x:row>
    <x:row r="63" ht="54" customHeight="1">
      <x:c r="A63" s="22" t="str">
        <x:v>F28</x:v>
      </x:c>
      <x:c r="B63" s="22" t="str">
        <x:v>CODEX</x:v>
      </x:c>
      <x:c r="C63" s="30" t="n">
        <x:f>INDEX('Matrix'!$C$6:$P$35,MATCH(A63,'Matrix'!$A$6:$A$35,0),MATCH(B63,'Matrix'!$C$4:$P$4,0))</x:f>
        <x:v>3</x:v>
      </x:c>
      <x:c r="D63" s="22" t="str">
        <x:v>Onboarding and reader guidance</x:v>
      </x:c>
      <x:c r="E63" s="22" t="str">
        <x:v>Codex workflow</x:v>
      </x:c>
      <x:c r="F63" s="22" t="str">
        <x:v>Reusable instructions and sustained-work guidance apply beyond code.</x:v>
      </x:c>
      <x:c r="G63" s="22" t="str">
        <x:v>Published coverage; analyst judgment</x:v>
      </x:c>
      <x:c r="H63" s="22" t="str">
        <x:v>O1, O2, O3</x:v>
      </x:c>
      <x:c r="I63" s="50" t="str">
        <x:f>INDEX('Sources'!$D$6:$D$66,MATCH("O1",'Sources'!$A$6:$A$66,0))&amp;CHAR(10)&amp;INDEX('Sources'!$D$6:$D$66,MATCH("O2",'Sources'!$A$6:$A$66,0))&amp;CHAR(10)&amp;INDEX('Sources'!$D$6:$D$66,MATCH("O3",'Sources'!$A$6:$A$66,0))</x:f>
        <x:v>https://developers.openai.com/blog/run-long-horizon-tasks-with-codex
https://developers.openai.com/cookbook/examples/codex/using_goals_in_codex
https://learn.chatgpt.com/docs/agent-configuration/agents-md</x:v>
      </x:c>
    </x:row>
    <x:row r="64" ht="54" customHeight="1">
      <x:c r="A64" s="22" t="str">
        <x:v>F29</x:v>
      </x:c>
      <x:c r="B64" s="22" t="str">
        <x:v>CODEX</x:v>
      </x:c>
      <x:c r="C64" s="30" t="n">
        <x:f>INDEX('Matrix'!$C$6:$P$35,MATCH(A64,'Matrix'!$A$6:$A$35,0),MATCH(B64,'Matrix'!$C$4:$P$4,0))</x:f>
        <x:v>1</x:v>
      </x:c>
      <x:c r="D64" s="22" t="str">
        <x:v>Evidence of effectiveness</x:v>
      </x:c>
      <x:c r="E64" s="22" t="str">
        <x:v>Codex workflow</x:v>
      </x:c>
      <x:c r="F64" s="22" t="str">
        <x:v>Long-horizon experiment supports feasibility, not controlled method superiority.</x:v>
      </x:c>
      <x:c r="G64" s="22" t="str">
        <x:v>Published coverage; analyst judgment</x:v>
      </x:c>
      <x:c r="H64" s="22" t="str">
        <x:v>O1, O2, O3</x:v>
      </x:c>
      <x:c r="I64" s="50" t="str">
        <x:f>INDEX('Sources'!$D$6:$D$66,MATCH("O1",'Sources'!$A$6:$A$66,0))&amp;CHAR(10)&amp;INDEX('Sources'!$D$6:$D$66,MATCH("O2",'Sources'!$A$6:$A$66,0))&amp;CHAR(10)&amp;INDEX('Sources'!$D$6:$D$66,MATCH("O3",'Sources'!$A$6:$A$66,0))</x:f>
        <x:v>https://developers.openai.com/blog/run-long-horizon-tasks-with-codex
https://developers.openai.com/cookbook/examples/codex/using_goals_in_codex
https://learn.chatgpt.com/docs/agent-configuration/agents-md</x:v>
      </x:c>
    </x:row>
    <x:row r="65" ht="54" customHeight="1">
      <x:c r="A65" s="22" t="str">
        <x:v>F30</x:v>
      </x:c>
      <x:c r="B65" s="22" t="str">
        <x:v>CODEX</x:v>
      </x:c>
      <x:c r="C65" s="30" t="n">
        <x:f>INDEX('Matrix'!$C$6:$P$35,MATCH(A65,'Matrix'!$A$6:$A$35,0),MATCH(B65,'Matrix'!$C$4:$P$4,0))</x:f>
        <x:v>2</x:v>
      </x:c>
      <x:c r="D65" s="22" t="str">
        <x:v>Work and resource measurement</x:v>
      </x:c>
      <x:c r="E65" s="22" t="str">
        <x:v>Codex workflow</x:v>
      </x:c>
      <x:c r="F65" s="22" t="str">
        <x:v>Goals expose budgets and progress; no comparable end-to-end methodology cost trial.</x:v>
      </x:c>
      <x:c r="G65" s="22" t="str">
        <x:v>Published coverage; analyst judgment</x:v>
      </x:c>
      <x:c r="H65" s="22" t="str">
        <x:v>O1, O2, O3</x:v>
      </x:c>
      <x:c r="I65" s="50" t="str">
        <x:f>INDEX('Sources'!$D$6:$D$66,MATCH("O1",'Sources'!$A$6:$A$66,0))&amp;CHAR(10)&amp;INDEX('Sources'!$D$6:$D$66,MATCH("O2",'Sources'!$A$6:$A$66,0))&amp;CHAR(10)&amp;INDEX('Sources'!$D$6:$D$66,MATCH("O3",'Sources'!$A$6:$A$66,0))</x:f>
        <x:v>https://developers.openai.com/blog/run-long-horizon-tasks-with-codex
https://developers.openai.com/cookbook/examples/codex/using_goals_in_codex
https://learn.chatgpt.com/docs/agent-configuration/agents-md</x:v>
      </x:c>
    </x:row>
    <x:row r="66" ht="46.5" customHeight="1">
      <x:c r="A66" s="22" t="str">
        <x:v>F01</x:v>
      </x:c>
      <x:c r="B66" s="22" t="str">
        <x:v>CLAUDE</x:v>
      </x:c>
      <x:c r="C66" s="30" t="n">
        <x:f>INDEX('Matrix'!$C$6:$P$35,MATCH(A66,'Matrix'!$A$6:$A$35,0),MATCH(B66,'Matrix'!$C$4:$P$4,0))</x:f>
        <x:v>3</x:v>
      </x:c>
      <x:c r="D66" s="22" t="str">
        <x:v>Intent and success criteria</x:v>
      </x:c>
      <x:c r="E66" s="22" t="str">
        <x:v>Claude Code workflow</x:v>
      </x:c>
      <x:c r="F66" s="22" t="str">
        <x:v>Larger-feature interviews produce a self-contained SPEC and implementation plan.</x:v>
      </x:c>
      <x:c r="G66" s="22" t="str">
        <x:v>Published coverage; analyst judgment</x:v>
      </x:c>
      <x:c r="H66" s="22" t="str">
        <x:v>A1</x:v>
      </x:c>
      <x:c r="I66" s="50" t="str">
        <x:f>INDEX('Sources'!$D$6:$D$66,MATCH("A1",'Sources'!$A$6:$A$66,0))</x:f>
        <x:v>https://code.claude.com/docs/en/best-practices</x:v>
      </x:c>
    </x:row>
    <x:row r="67" ht="46.5" customHeight="1">
      <x:c r="A67" s="22" t="str">
        <x:v>F02</x:v>
      </x:c>
      <x:c r="B67" s="22" t="str">
        <x:v>CLAUDE</x:v>
      </x:c>
      <x:c r="C67" s="30" t="n">
        <x:f>INDEX('Matrix'!$C$6:$P$35,MATCH(A67,'Matrix'!$A$6:$A$35,0),MATCH(B67,'Matrix'!$C$4:$P$4,0))</x:f>
        <x:v>1</x:v>
      </x:c>
      <x:c r="D67" s="22" t="str">
        <x:v>Product definition and scope</x:v>
      </x:c>
      <x:c r="E67" s="22" t="str">
        <x:v>Claude Code workflow</x:v>
      </x:c>
      <x:c r="F67" s="22" t="str">
        <x:v>Larger-feature interviews produce a self-contained SPEC and implementation plan.</x:v>
      </x:c>
      <x:c r="G67" s="22" t="str">
        <x:v>Published coverage; analyst judgment</x:v>
      </x:c>
      <x:c r="H67" s="22" t="str">
        <x:v>A1</x:v>
      </x:c>
      <x:c r="I67" s="50" t="str">
        <x:f>INDEX('Sources'!$D$6:$D$66,MATCH("A1",'Sources'!$A$6:$A$66,0))</x:f>
        <x:v>https://code.claude.com/docs/en/best-practices</x:v>
      </x:c>
    </x:row>
    <x:row r="68" ht="46.5" customHeight="1">
      <x:c r="A68" s="22" t="str">
        <x:v>F03</x:v>
      </x:c>
      <x:c r="B68" s="22" t="str">
        <x:v>CLAUDE</x:v>
      </x:c>
      <x:c r="C68" s="30" t="n">
        <x:f>INDEX('Matrix'!$C$6:$P$35,MATCH(A68,'Matrix'!$A$6:$A$35,0),MATCH(B68,'Matrix'!$C$4:$P$4,0))</x:f>
        <x:v>3</x:v>
      </x:c>
      <x:c r="D68" s="22" t="str">
        <x:v>Requirements before construction</x:v>
      </x:c>
      <x:c r="E68" s="22" t="str">
        <x:v>Claude Code workflow</x:v>
      </x:c>
      <x:c r="F68" s="22" t="str">
        <x:v>Larger-feature interviews produce a self-contained SPEC and implementation plan.</x:v>
      </x:c>
      <x:c r="G68" s="22" t="str">
        <x:v>Published coverage; analyst judgment</x:v>
      </x:c>
      <x:c r="H68" s="22" t="str">
        <x:v>A1</x:v>
      </x:c>
      <x:c r="I68" s="50" t="str">
        <x:f>INDEX('Sources'!$D$6:$D$66,MATCH("A1",'Sources'!$A$6:$A$66,0))</x:f>
        <x:v>https://code.claude.com/docs/en/best-practices</x:v>
      </x:c>
    </x:row>
    <x:row r="69" ht="46.5" customHeight="1">
      <x:c r="A69" s="22" t="str">
        <x:v>F04</x:v>
      </x:c>
      <x:c r="B69" s="22" t="str">
        <x:v>CLAUDE</x:v>
      </x:c>
      <x:c r="C69" s="30" t="n">
        <x:f>INDEX('Matrix'!$C$6:$P$35,MATCH(A69,'Matrix'!$A$6:$A$35,0),MATCH(B69,'Matrix'!$C$4:$P$4,0))</x:f>
        <x:v>2</x:v>
      </x:c>
      <x:c r="D69" s="22" t="str">
        <x:v>Design separated from requirements</x:v>
      </x:c>
      <x:c r="E69" s="22" t="str">
        <x:v>Claude Code workflow</x:v>
      </x:c>
      <x:c r="F69" s="22" t="str">
        <x:v>Larger-feature interviews produce a self-contained SPEC and implementation plan.</x:v>
      </x:c>
      <x:c r="G69" s="22" t="str">
        <x:v>Published coverage; analyst judgment</x:v>
      </x:c>
      <x:c r="H69" s="22" t="str">
        <x:v>A1</x:v>
      </x:c>
      <x:c r="I69" s="50" t="str">
        <x:f>INDEX('Sources'!$D$6:$D$66,MATCH("A1",'Sources'!$A$6:$A$66,0))</x:f>
        <x:v>https://code.claude.com/docs/en/best-practices</x:v>
      </x:c>
    </x:row>
    <x:row r="70" ht="46.5" customHeight="1">
      <x:c r="A70" s="22" t="str">
        <x:v>F05</x:v>
      </x:c>
      <x:c r="B70" s="22" t="str">
        <x:v>CLAUDE</x:v>
      </x:c>
      <x:c r="C70" s="30" t="n">
        <x:f>INDEX('Matrix'!$C$6:$P$35,MATCH(A70,'Matrix'!$A$6:$A$35,0),MATCH(B70,'Matrix'!$C$4:$P$4,0))</x:f>
        <x:v>2</x:v>
      </x:c>
      <x:c r="D70" s="22" t="str">
        <x:v>Traceability across stages</x:v>
      </x:c>
      <x:c r="E70" s="22" t="str">
        <x:v>Claude Code workflow</x:v>
      </x:c>
      <x:c r="F70" s="22" t="str">
        <x:v>Larger-feature interviews produce a self-contained SPEC and implementation plan.</x:v>
      </x:c>
      <x:c r="G70" s="22" t="str">
        <x:v>Published coverage; analyst judgment</x:v>
      </x:c>
      <x:c r="H70" s="22" t="str">
        <x:v>A1</x:v>
      </x:c>
      <x:c r="I70" s="50" t="str">
        <x:f>INDEX('Sources'!$D$6:$D$66,MATCH("A1",'Sources'!$A$6:$A$66,0))</x:f>
        <x:v>https://code.claude.com/docs/en/best-practices</x:v>
      </x:c>
    </x:row>
    <x:row r="71" ht="46.5" customHeight="1">
      <x:c r="A71" s="22" t="str">
        <x:v>F06</x:v>
      </x:c>
      <x:c r="B71" s="22" t="str">
        <x:v>CLAUDE</x:v>
      </x:c>
      <x:c r="C71" s="30" t="n">
        <x:f>INDEX('Matrix'!$C$6:$P$35,MATCH(A71,'Matrix'!$A$6:$A$35,0),MATCH(B71,'Matrix'!$C$4:$P$4,0))</x:f>
        <x:v>0</x:v>
      </x:c>
      <x:c r="D71" s="22" t="str">
        <x:v>Domain concepts and identity</x:v>
      </x:c>
      <x:c r="E71" s="22" t="str">
        <x:v>Claude Code workflow</x:v>
      </x:c>
      <x:c r="F71" s="22" t="str">
        <x:v>Project memory and context instructions do not prescribe domain identity or ownership of product meaning.</x:v>
      </x:c>
      <x:c r="G71" s="22" t="str">
        <x:v>Published coverage; analyst judgment</x:v>
      </x:c>
      <x:c r="H71" s="22" t="str">
        <x:v>A1, A3</x:v>
      </x:c>
      <x:c r="I71" s="50" t="str">
        <x:f>INDEX('Sources'!$D$6:$D$66,MATCH("A1",'Sources'!$A$6:$A$66,0))&amp;CHAR(10)&amp;INDEX('Sources'!$D$6:$D$66,MATCH("A3",'Sources'!$A$6:$A$66,0))</x:f>
        <x:v>https://code.claude.com/docs/en/best-practices
https://code.claude.com/docs/en/memory</x:v>
      </x:c>
    </x:row>
    <x:row r="72" ht="54" customHeight="1">
      <x:c r="A72" s="22" t="str">
        <x:v>F07</x:v>
      </x:c>
      <x:c r="B72" s="22" t="str">
        <x:v>CLAUDE</x:v>
      </x:c>
      <x:c r="C72" s="30" t="n">
        <x:f>INDEX('Matrix'!$C$6:$P$35,MATCH(A72,'Matrix'!$A$6:$A$35,0),MATCH(B72,'Matrix'!$C$4:$P$4,0))</x:f>
        <x:v>2</x:v>
      </x:c>
      <x:c r="D72" s="22" t="str">
        <x:v>Explicit inputs, outputs and contracts</x:v>
      </x:c>
      <x:c r="E72" s="22" t="str">
        <x:v>Claude Code workflow</x:v>
      </x:c>
      <x:c r="F72" s="22" t="str">
        <x:v>Persistent instructions and configured agents; semantic composition is not prescribed.</x:v>
      </x:c>
      <x:c r="G72" s="22" t="str">
        <x:v>Published coverage; analyst judgment</x:v>
      </x:c>
      <x:c r="H72" s="22" t="str">
        <x:v>A1, A3, A5</x:v>
      </x:c>
      <x:c r="I72" s="50" t="str">
        <x:f>INDEX('Sources'!$D$6:$D$66,MATCH("A1",'Sources'!$A$6:$A$66,0))&amp;CHAR(10)&amp;INDEX('Sources'!$D$6:$D$66,MATCH("A3",'Sources'!$A$6:$A$66,0))&amp;CHAR(10)&amp;INDEX('Sources'!$D$6:$D$66,MATCH("A5",'Sources'!$A$6:$A$66,0))</x:f>
        <x:v>https://code.claude.com/docs/en/best-practices
https://code.claude.com/docs/en/memory
https://code.claude.com/docs/en/sub-agents</x:v>
      </x:c>
    </x:row>
    <x:row r="73" ht="54" customHeight="1">
      <x:c r="A73" s="22" t="str">
        <x:v>F08</x:v>
      </x:c>
      <x:c r="B73" s="22" t="str">
        <x:v>CLAUDE</x:v>
      </x:c>
      <x:c r="C73" s="30" t="n">
        <x:f>INDEX('Matrix'!$C$6:$P$35,MATCH(A73,'Matrix'!$A$6:$A$35,0),MATCH(B73,'Matrix'!$C$4:$P$4,0))</x:f>
        <x:v>2</x:v>
      </x:c>
      <x:c r="D73" s="22" t="str">
        <x:v>Invariants and semantic constraints</x:v>
      </x:c>
      <x:c r="E73" s="22" t="str">
        <x:v>Claude Code workflow</x:v>
      </x:c>
      <x:c r="F73" s="22" t="str">
        <x:v>Persistent instructions and configured agents; semantic composition is not prescribed.</x:v>
      </x:c>
      <x:c r="G73" s="22" t="str">
        <x:v>Published coverage; analyst judgment</x:v>
      </x:c>
      <x:c r="H73" s="22" t="str">
        <x:v>A1, A3, A5</x:v>
      </x:c>
      <x:c r="I73" s="50" t="str">
        <x:f>INDEX('Sources'!$D$6:$D$66,MATCH("A1",'Sources'!$A$6:$A$66,0))&amp;CHAR(10)&amp;INDEX('Sources'!$D$6:$D$66,MATCH("A3",'Sources'!$A$6:$A$66,0))&amp;CHAR(10)&amp;INDEX('Sources'!$D$6:$D$66,MATCH("A5",'Sources'!$A$6:$A$66,0))</x:f>
        <x:v>https://code.claude.com/docs/en/best-practices
https://code.claude.com/docs/en/memory
https://code.claude.com/docs/en/sub-agents</x:v>
      </x:c>
    </x:row>
    <x:row r="74" ht="46.5" customHeight="1">
      <x:c r="A74" s="22" t="str">
        <x:v>F09</x:v>
      </x:c>
      <x:c r="B74" s="22" t="str">
        <x:v>CLAUDE</x:v>
      </x:c>
      <x:c r="C74" s="30" t="n">
        <x:f>INDEX('Matrix'!$C$6:$P$35,MATCH(A74,'Matrix'!$A$6:$A$35,0),MATCH(B74,'Matrix'!$C$4:$P$4,0))</x:f>
        <x:v>0</x:v>
      </x:c>
      <x:c r="D74" s="22" t="str">
        <x:v>Composition and formal reasoning</x:v>
      </x:c>
      <x:c r="E74" s="22" t="str">
        <x:v>Claude Code workflow</x:v>
      </x:c>
      <x:c r="F74" s="22" t="str">
        <x:v>Agent configuration does not prescribe construction-operation compatibility or derivation laws.</x:v>
      </x:c>
      <x:c r="G74" s="22" t="str">
        <x:v>Published coverage; analyst judgment</x:v>
      </x:c>
      <x:c r="H74" s="22" t="str">
        <x:v>A3, A5</x:v>
      </x:c>
      <x:c r="I74" s="50" t="str">
        <x:f>INDEX('Sources'!$D$6:$D$66,MATCH("A3",'Sources'!$A$6:$A$66,0))&amp;CHAR(10)&amp;INDEX('Sources'!$D$6:$D$66,MATCH("A5",'Sources'!$A$6:$A$66,0))</x:f>
        <x:v>https://code.claude.com/docs/en/memory
https://code.claude.com/docs/en/sub-agents</x:v>
      </x:c>
    </x:row>
    <x:row r="75" ht="68.25" customHeight="1">
      <x:c r="A75" s="22" t="str">
        <x:v>F10</x:v>
      </x:c>
      <x:c r="B75" s="22" t="str">
        <x:v>CLAUDE</x:v>
      </x:c>
      <x:c r="C75" s="30" t="n">
        <x:f>INDEX('Matrix'!$C$6:$P$35,MATCH(A75,'Matrix'!$A$6:$A$35,0),MATCH(B75,'Matrix'!$C$4:$P$4,0))</x:f>
        <x:v>3</x:v>
      </x:c>
      <x:c r="D75" s="22" t="str">
        <x:v>Relevant context selection</x:v>
      </x:c>
      <x:c r="E75" s="22" t="str">
        <x:v>Claude Code workflow</x:v>
      </x:c>
      <x:c r="F75" s="22" t="str">
        <x:v>Compaction, on-demand skills, independent contexts and resumable sessions.</x:v>
      </x:c>
      <x:c r="G75" s="22" t="str">
        <x:v>Published coverage; analyst judgment</x:v>
      </x:c>
      <x:c r="H75" s="22" t="str">
        <x:v>A1, A2, A3, A5</x:v>
      </x:c>
      <x:c r="I75" s="50" t="str">
        <x:f>INDEX('Sources'!$D$6:$D$66,MATCH("A1",'Sources'!$A$6:$A$66,0))&amp;CHAR(10)&amp;INDEX('Sources'!$D$6:$D$66,MATCH("A2",'Sources'!$A$6:$A$66,0))&amp;CHAR(10)&amp;INDEX('Sources'!$D$6:$D$66,MATCH("A3",'Sources'!$A$6:$A$66,0))&amp;CHAR(10)&amp;INDEX('Sources'!$D$6:$D$66,MATCH("A5",'Sources'!$A$6:$A$66,0))</x:f>
        <x:v>https://code.claude.com/docs/en/best-practices
https://code.claude.com/docs/en/how-claude-code-works
https://code.claude.com/docs/en/memory
https://code.claude.com/docs/en/sub-agents</x:v>
      </x:c>
    </x:row>
    <x:row r="76" ht="68.25" customHeight="1">
      <x:c r="A76" s="22" t="str">
        <x:v>F11</x:v>
      </x:c>
      <x:c r="B76" s="22" t="str">
        <x:v>CLAUDE</x:v>
      </x:c>
      <x:c r="C76" s="30" t="n">
        <x:f>INDEX('Matrix'!$C$6:$P$35,MATCH(A76,'Matrix'!$A$6:$A$35,0),MATCH(B76,'Matrix'!$C$4:$P$4,0))</x:f>
        <x:v>3</x:v>
      </x:c>
      <x:c r="D76" s="22" t="str">
        <x:v>Attention fit and proportionality</x:v>
      </x:c>
      <x:c r="E76" s="22" t="str">
        <x:v>Claude Code workflow</x:v>
      </x:c>
      <x:c r="F76" s="22" t="str">
        <x:v>Compaction, on-demand skills, independent contexts and resumable sessions.</x:v>
      </x:c>
      <x:c r="G76" s="22" t="str">
        <x:v>Published coverage; analyst judgment</x:v>
      </x:c>
      <x:c r="H76" s="22" t="str">
        <x:v>A1, A2, A3, A5</x:v>
      </x:c>
      <x:c r="I76" s="50" t="str">
        <x:f>INDEX('Sources'!$D$6:$D$66,MATCH("A1",'Sources'!$A$6:$A$66,0))&amp;CHAR(10)&amp;INDEX('Sources'!$D$6:$D$66,MATCH("A2",'Sources'!$A$6:$A$66,0))&amp;CHAR(10)&amp;INDEX('Sources'!$D$6:$D$66,MATCH("A3",'Sources'!$A$6:$A$66,0))&amp;CHAR(10)&amp;INDEX('Sources'!$D$6:$D$66,MATCH("A5",'Sources'!$A$6:$A$66,0))</x:f>
        <x:v>https://code.claude.com/docs/en/best-practices
https://code.claude.com/docs/en/how-claude-code-works
https://code.claude.com/docs/en/memory
https://code.claude.com/docs/en/sub-agents</x:v>
      </x:c>
    </x:row>
    <x:row r="77" ht="68.25" customHeight="1">
      <x:c r="A77" s="22" t="str">
        <x:v>F12</x:v>
      </x:c>
      <x:c r="B77" s="22" t="str">
        <x:v>CLAUDE</x:v>
      </x:c>
      <x:c r="C77" s="30" t="n">
        <x:f>INDEX('Matrix'!$C$6:$P$35,MATCH(A77,'Matrix'!$A$6:$A$35,0),MATCH(B77,'Matrix'!$C$4:$P$4,0))</x:f>
        <x:v>3</x:v>
      </x:c>
      <x:c r="D77" s="22" t="str">
        <x:v>Bounded probabilistic construction</x:v>
      </x:c>
      <x:c r="E77" s="22" t="str">
        <x:v>Claude Code workflow</x:v>
      </x:c>
      <x:c r="F77" s="22" t="str">
        <x:v>Compaction, on-demand skills, independent contexts and resumable sessions.</x:v>
      </x:c>
      <x:c r="G77" s="22" t="str">
        <x:v>Published coverage; analyst judgment</x:v>
      </x:c>
      <x:c r="H77" s="22" t="str">
        <x:v>A1, A2, A3, A5</x:v>
      </x:c>
      <x:c r="I77" s="50" t="str">
        <x:f>INDEX('Sources'!$D$6:$D$66,MATCH("A1",'Sources'!$A$6:$A$66,0))&amp;CHAR(10)&amp;INDEX('Sources'!$D$6:$D$66,MATCH("A2",'Sources'!$A$6:$A$66,0))&amp;CHAR(10)&amp;INDEX('Sources'!$D$6:$D$66,MATCH("A3",'Sources'!$A$6:$A$66,0))&amp;CHAR(10)&amp;INDEX('Sources'!$D$6:$D$66,MATCH("A5",'Sources'!$A$6:$A$66,0))</x:f>
        <x:v>https://code.claude.com/docs/en/best-practices
https://code.claude.com/docs/en/how-claude-code-works
https://code.claude.com/docs/en/memory
https://code.claude.com/docs/en/sub-agents</x:v>
      </x:c>
    </x:row>
    <x:row r="78" ht="68.25" customHeight="1">
      <x:c r="A78" s="22" t="str">
        <x:v>F13</x:v>
      </x:c>
      <x:c r="B78" s="22" t="str">
        <x:v>CLAUDE</x:v>
      </x:c>
      <x:c r="C78" s="30" t="n">
        <x:f>INDEX('Matrix'!$C$6:$P$35,MATCH(A78,'Matrix'!$A$6:$A$35,0),MATCH(B78,'Matrix'!$C$4:$P$4,0))</x:f>
        <x:v>3</x:v>
      </x:c>
      <x:c r="D78" s="22" t="str">
        <x:v>Decomposition and recursive workflows</x:v>
      </x:c>
      <x:c r="E78" s="22" t="str">
        <x:v>Claude Code workflow</x:v>
      </x:c>
      <x:c r="F78" s="22" t="str">
        <x:v>Compaction, on-demand skills, independent contexts and resumable sessions.</x:v>
      </x:c>
      <x:c r="G78" s="22" t="str">
        <x:v>Published coverage; analyst judgment</x:v>
      </x:c>
      <x:c r="H78" s="22" t="str">
        <x:v>A1, A2, A3, A5</x:v>
      </x:c>
      <x:c r="I78" s="50" t="str">
        <x:f>INDEX('Sources'!$D$6:$D$66,MATCH("A1",'Sources'!$A$6:$A$66,0))&amp;CHAR(10)&amp;INDEX('Sources'!$D$6:$D$66,MATCH("A2",'Sources'!$A$6:$A$66,0))&amp;CHAR(10)&amp;INDEX('Sources'!$D$6:$D$66,MATCH("A3",'Sources'!$A$6:$A$66,0))&amp;CHAR(10)&amp;INDEX('Sources'!$D$6:$D$66,MATCH("A5",'Sources'!$A$6:$A$66,0))</x:f>
        <x:v>https://code.claude.com/docs/en/best-practices
https://code.claude.com/docs/en/how-claude-code-works
https://code.claude.com/docs/en/memory
https://code.claude.com/docs/en/sub-agents</x:v>
      </x:c>
    </x:row>
    <x:row r="79" ht="68.25" customHeight="1">
      <x:c r="A79" s="22" t="str">
        <x:v>F14</x:v>
      </x:c>
      <x:c r="B79" s="22" t="str">
        <x:v>CLAUDE</x:v>
      </x:c>
      <x:c r="C79" s="30" t="n">
        <x:f>INDEX('Matrix'!$C$6:$P$35,MATCH(A79,'Matrix'!$A$6:$A$35,0),MATCH(B79,'Matrix'!$C$4:$P$4,0))</x:f>
        <x:v>3</x:v>
      </x:c>
      <x:c r="D79" s="22" t="str">
        <x:v>Durable state and resumption</x:v>
      </x:c>
      <x:c r="E79" s="22" t="str">
        <x:v>Claude Code workflow</x:v>
      </x:c>
      <x:c r="F79" s="22" t="str">
        <x:v>Compaction, on-demand skills, independent contexts and resumable sessions.</x:v>
      </x:c>
      <x:c r="G79" s="22" t="str">
        <x:v>Published coverage; analyst judgment</x:v>
      </x:c>
      <x:c r="H79" s="22" t="str">
        <x:v>A1, A2, A3, A5</x:v>
      </x:c>
      <x:c r="I79" s="50" t="str">
        <x:f>INDEX('Sources'!$D$6:$D$66,MATCH("A1",'Sources'!$A$6:$A$66,0))&amp;CHAR(10)&amp;INDEX('Sources'!$D$6:$D$66,MATCH("A2",'Sources'!$A$6:$A$66,0))&amp;CHAR(10)&amp;INDEX('Sources'!$D$6:$D$66,MATCH("A3",'Sources'!$A$6:$A$66,0))&amp;CHAR(10)&amp;INDEX('Sources'!$D$6:$D$66,MATCH("A5",'Sources'!$A$6:$A$66,0))</x:f>
        <x:v>https://code.claude.com/docs/en/best-practices
https://code.claude.com/docs/en/how-claude-code-works
https://code.claude.com/docs/en/memory
https://code.claude.com/docs/en/sub-agents</x:v>
      </x:c>
    </x:row>
    <x:row r="80" ht="68.25" customHeight="1">
      <x:c r="A80" s="22" t="str">
        <x:v>F15</x:v>
      </x:c>
      <x:c r="B80" s="22" t="str">
        <x:v>CLAUDE</x:v>
      </x:c>
      <x:c r="C80" s="30" t="n">
        <x:f>INDEX('Matrix'!$C$6:$P$35,MATCH(A80,'Matrix'!$A$6:$A$35,0),MATCH(B80,'Matrix'!$C$4:$P$4,0))</x:f>
        <x:v>3</x:v>
      </x:c>
      <x:c r="D80" s="22" t="str">
        <x:v>Observation and next-action feedback</x:v>
      </x:c>
      <x:c r="E80" s="22" t="str">
        <x:v>Claude Code workflow</x:v>
      </x:c>
      <x:c r="F80" s="22" t="str">
        <x:v>Compaction, on-demand skills, independent contexts and resumable sessions.</x:v>
      </x:c>
      <x:c r="G80" s="22" t="str">
        <x:v>Published coverage; analyst judgment</x:v>
      </x:c>
      <x:c r="H80" s="22" t="str">
        <x:v>A1, A2, A3, A5</x:v>
      </x:c>
      <x:c r="I80" s="50" t="str">
        <x:f>INDEX('Sources'!$D$6:$D$66,MATCH("A1",'Sources'!$A$6:$A$66,0))&amp;CHAR(10)&amp;INDEX('Sources'!$D$6:$D$66,MATCH("A2",'Sources'!$A$6:$A$66,0))&amp;CHAR(10)&amp;INDEX('Sources'!$D$6:$D$66,MATCH("A3",'Sources'!$A$6:$A$66,0))&amp;CHAR(10)&amp;INDEX('Sources'!$D$6:$D$66,MATCH("A5",'Sources'!$A$6:$A$66,0))</x:f>
        <x:v>https://code.claude.com/docs/en/best-practices
https://code.claude.com/docs/en/how-claude-code-works
https://code.claude.com/docs/en/memory
https://code.claude.com/docs/en/sub-agents</x:v>
      </x:c>
    </x:row>
    <x:row r="81" ht="68.25" customHeight="1">
      <x:c r="A81" s="22" t="str">
        <x:v>F16</x:v>
      </x:c>
      <x:c r="B81" s="22" t="str">
        <x:v>CLAUDE</x:v>
      </x:c>
      <x:c r="C81" s="30" t="n">
        <x:f>INDEX('Matrix'!$C$6:$P$35,MATCH(A81,'Matrix'!$A$6:$A$35,0),MATCH(B81,'Matrix'!$C$4:$P$4,0))</x:f>
        <x:v>3</x:v>
      </x:c>
      <x:c r="D81" s="22" t="str">
        <x:v>Uncertainty, stops and re-entry</x:v>
      </x:c>
      <x:c r="E81" s="22" t="str">
        <x:v>Claude Code workflow</x:v>
      </x:c>
      <x:c r="F81" s="22" t="str">
        <x:v>Compaction, on-demand skills, independent contexts and resumable sessions.</x:v>
      </x:c>
      <x:c r="G81" s="22" t="str">
        <x:v>Published coverage; analyst judgment</x:v>
      </x:c>
      <x:c r="H81" s="22" t="str">
        <x:v>A1, A2, A3, A5</x:v>
      </x:c>
      <x:c r="I81" s="50" t="str">
        <x:f>INDEX('Sources'!$D$6:$D$66,MATCH("A1",'Sources'!$A$6:$A$66,0))&amp;CHAR(10)&amp;INDEX('Sources'!$D$6:$D$66,MATCH("A2",'Sources'!$A$6:$A$66,0))&amp;CHAR(10)&amp;INDEX('Sources'!$D$6:$D$66,MATCH("A3",'Sources'!$A$6:$A$66,0))&amp;CHAR(10)&amp;INDEX('Sources'!$D$6:$D$66,MATCH("A5",'Sources'!$A$6:$A$66,0))</x:f>
        <x:v>https://code.claude.com/docs/en/best-practices
https://code.claude.com/docs/en/how-claude-code-works
https://code.claude.com/docs/en/memory
https://code.claude.com/docs/en/sub-agents</x:v>
      </x:c>
    </x:row>
    <x:row r="82" ht="54" customHeight="1">
      <x:c r="A82" s="22" t="str">
        <x:v>F17</x:v>
      </x:c>
      <x:c r="B82" s="22" t="str">
        <x:v>CLAUDE</x:v>
      </x:c>
      <x:c r="C82" s="30" t="n">
        <x:f>INDEX('Matrix'!$C$6:$P$35,MATCH(A82,'Matrix'!$A$6:$A$35,0),MATCH(B82,'Matrix'!$C$4:$P$4,0))</x:f>
        <x:v>3</x:v>
      </x:c>
      <x:c r="D82" s="22" t="str">
        <x:v>Permissions and effect boundaries</x:v>
      </x:c>
      <x:c r="E82" s="22" t="str">
        <x:v>Claude Code workflow</x:v>
      </x:c>
      <x:c r="F82" s="22" t="str">
        <x:v>Fresh-context adversarial review, executable checks, hooks and permissions.</x:v>
      </x:c>
      <x:c r="G82" s="22" t="str">
        <x:v>Published coverage; analyst judgment</x:v>
      </x:c>
      <x:c r="H82" s="22" t="str">
        <x:v>A1, A4, A5</x:v>
      </x:c>
      <x:c r="I82" s="50" t="str">
        <x:f>INDEX('Sources'!$D$6:$D$66,MATCH("A1",'Sources'!$A$6:$A$66,0))&amp;CHAR(10)&amp;INDEX('Sources'!$D$6:$D$66,MATCH("A4",'Sources'!$A$6:$A$66,0))&amp;CHAR(10)&amp;INDEX('Sources'!$D$6:$D$66,MATCH("A5",'Sources'!$A$6:$A$66,0))</x:f>
        <x:v>https://code.claude.com/docs/en/best-practices
https://code.claude.com/docs/en/permissions
https://code.claude.com/docs/en/sub-agents</x:v>
      </x:c>
    </x:row>
    <x:row r="83" ht="46.5" customHeight="1">
      <x:c r="A83" s="22" t="str">
        <x:v>F18</x:v>
      </x:c>
      <x:c r="B83" s="22" t="str">
        <x:v>CLAUDE</x:v>
      </x:c>
      <x:c r="C83" s="30" t="n">
        <x:f>INDEX('Matrix'!$C$6:$P$35,MATCH(A83,'Matrix'!$A$6:$A$35,0),MATCH(B83,'Matrix'!$C$4:$P$4,0))</x:f>
        <x:v>2</x:v>
      </x:c>
      <x:c r="D83" s="22" t="str">
        <x:v>Independent assessment</x:v>
      </x:c>
      <x:c r="E83" s="22" t="str">
        <x:v>Claude Code workflow</x:v>
      </x:c>
      <x:c r="F83" s="22" t="str">
        <x:v>Fresh-context adversarial review is recommended and configurable; universal independent qualification is not prescribed.</x:v>
      </x:c>
      <x:c r="G83" s="22" t="str">
        <x:v>Published coverage; analyst judgment</x:v>
      </x:c>
      <x:c r="H83" s="22" t="str">
        <x:v>A1, A5</x:v>
      </x:c>
      <x:c r="I83" s="50" t="str">
        <x:f>INDEX('Sources'!$D$6:$D$66,MATCH("A1",'Sources'!$A$6:$A$66,0))&amp;CHAR(10)&amp;INDEX('Sources'!$D$6:$D$66,MATCH("A5",'Sources'!$A$6:$A$66,0))</x:f>
        <x:v>https://code.claude.com/docs/en/best-practices
https://code.claude.com/docs/en/sub-agents</x:v>
      </x:c>
    </x:row>
    <x:row r="84" ht="54" customHeight="1">
      <x:c r="A84" s="22" t="str">
        <x:v>F19</x:v>
      </x:c>
      <x:c r="B84" s="22" t="str">
        <x:v>CLAUDE</x:v>
      </x:c>
      <x:c r="C84" s="30" t="n">
        <x:f>INDEX('Matrix'!$C$6:$P$35,MATCH(A84,'Matrix'!$A$6:$A$35,0),MATCH(B84,'Matrix'!$C$4:$P$4,0))</x:f>
        <x:v>3</x:v>
      </x:c>
      <x:c r="D84" s="22" t="str">
        <x:v>Operational and negative tests</x:v>
      </x:c>
      <x:c r="E84" s="22" t="str">
        <x:v>Claude Code workflow</x:v>
      </x:c>
      <x:c r="F84" s="22" t="str">
        <x:v>Fresh-context adversarial review, executable checks, hooks and permissions.</x:v>
      </x:c>
      <x:c r="G84" s="22" t="str">
        <x:v>Published coverage; analyst judgment</x:v>
      </x:c>
      <x:c r="H84" s="22" t="str">
        <x:v>A1, A4, A5</x:v>
      </x:c>
      <x:c r="I84" s="50" t="str">
        <x:f>INDEX('Sources'!$D$6:$D$66,MATCH("A1",'Sources'!$A$6:$A$66,0))&amp;CHAR(10)&amp;INDEX('Sources'!$D$6:$D$66,MATCH("A4",'Sources'!$A$6:$A$66,0))&amp;CHAR(10)&amp;INDEX('Sources'!$D$6:$D$66,MATCH("A5",'Sources'!$A$6:$A$66,0))</x:f>
        <x:v>https://code.claude.com/docs/en/best-practices
https://code.claude.com/docs/en/permissions
https://code.claude.com/docs/en/sub-agents</x:v>
      </x:c>
    </x:row>
    <x:row r="85" ht="54" customHeight="1">
      <x:c r="A85" s="22" t="str">
        <x:v>F20</x:v>
      </x:c>
      <x:c r="B85" s="22" t="str">
        <x:v>CLAUDE</x:v>
      </x:c>
      <x:c r="C85" s="30" t="n">
        <x:f>INDEX('Matrix'!$C$6:$P$35,MATCH(A85,'Matrix'!$A$6:$A$35,0),MATCH(B85,'Matrix'!$C$4:$P$4,0))</x:f>
        <x:v>2</x:v>
      </x:c>
      <x:c r="D85" s="22" t="str">
        <x:v>Claim and evidence separation</x:v>
      </x:c>
      <x:c r="E85" s="22" t="str">
        <x:v>Claude Code workflow</x:v>
      </x:c>
      <x:c r="F85" s="22" t="str">
        <x:v>Fresh-context adversarial review, executable checks, hooks and permissions.</x:v>
      </x:c>
      <x:c r="G85" s="22" t="str">
        <x:v>Published coverage; analyst judgment</x:v>
      </x:c>
      <x:c r="H85" s="22" t="str">
        <x:v>A1, A4, A5</x:v>
      </x:c>
      <x:c r="I85" s="50" t="str">
        <x:f>INDEX('Sources'!$D$6:$D$66,MATCH("A1",'Sources'!$A$6:$A$66,0))&amp;CHAR(10)&amp;INDEX('Sources'!$D$6:$D$66,MATCH("A4",'Sources'!$A$6:$A$66,0))&amp;CHAR(10)&amp;INDEX('Sources'!$D$6:$D$66,MATCH("A5",'Sources'!$A$6:$A$66,0))</x:f>
        <x:v>https://code.claude.com/docs/en/best-practices
https://code.claude.com/docs/en/permissions
https://code.claude.com/docs/en/sub-agents</x:v>
      </x:c>
    </x:row>
    <x:row r="86" ht="54" customHeight="1">
      <x:c r="A86" s="22" t="str">
        <x:v>F21</x:v>
      </x:c>
      <x:c r="B86" s="22" t="str">
        <x:v>CLAUDE</x:v>
      </x:c>
      <x:c r="C86" s="30" t="n">
        <x:f>INDEX('Matrix'!$C$6:$P$35,MATCH(A86,'Matrix'!$A$6:$A$35,0),MATCH(B86,'Matrix'!$C$4:$P$4,0))</x:f>
        <x:v>2</x:v>
      </x:c>
      <x:c r="D86" s="22" t="str">
        <x:v>Provenance and auditability</x:v>
      </x:c>
      <x:c r="E86" s="22" t="str">
        <x:v>Claude Code workflow</x:v>
      </x:c>
      <x:c r="F86" s="22" t="str">
        <x:v>Fresh-context adversarial review, executable checks, hooks and permissions.</x:v>
      </x:c>
      <x:c r="G86" s="22" t="str">
        <x:v>Published coverage; analyst judgment</x:v>
      </x:c>
      <x:c r="H86" s="22" t="str">
        <x:v>A1, A4, A5</x:v>
      </x:c>
      <x:c r="I86" s="50" t="str">
        <x:f>INDEX('Sources'!$D$6:$D$66,MATCH("A1",'Sources'!$A$6:$A$66,0))&amp;CHAR(10)&amp;INDEX('Sources'!$D$6:$D$66,MATCH("A4",'Sources'!$A$6:$A$66,0))&amp;CHAR(10)&amp;INDEX('Sources'!$D$6:$D$66,MATCH("A5",'Sources'!$A$6:$A$66,0))</x:f>
        <x:v>https://code.claude.com/docs/en/best-practices
https://code.claude.com/docs/en/permissions
https://code.claude.com/docs/en/sub-agents</x:v>
      </x:c>
    </x:row>
    <x:row r="87" ht="46.5" customHeight="1">
      <x:c r="A87" s="22" t="str">
        <x:v>F22</x:v>
      </x:c>
      <x:c r="B87" s="22" t="str">
        <x:v>CLAUDE</x:v>
      </x:c>
      <x:c r="C87" s="30" t="n">
        <x:f>INDEX('Matrix'!$C$6:$P$35,MATCH(A87,'Matrix'!$A$6:$A$35,0),MATCH(B87,'Matrix'!$C$4:$P$4,0))</x:f>
        <x:v>1</x:v>
      </x:c>
      <x:c r="D87" s="22" t="str">
        <x:v>Change impact and specification revision</x:v>
      </x:c>
      <x:c r="E87" s="22" t="str">
        <x:v>Claude Code workflow</x:v>
      </x:c>
      <x:c r="F87" s="22" t="str">
        <x:v>Steering and retained session/code continuity support basic change handling; valid unaffected results are not explicitly requalified.</x:v>
      </x:c>
      <x:c r="G87" s="22" t="str">
        <x:v>Published coverage; analyst judgment</x:v>
      </x:c>
      <x:c r="H87" s="22" t="str">
        <x:v>A1, A2</x:v>
      </x:c>
      <x:c r="I87" s="50" t="str">
        <x:f>INDEX('Sources'!$D$6:$D$66,MATCH("A1",'Sources'!$A$6:$A$66,0))&amp;CHAR(10)&amp;INDEX('Sources'!$D$6:$D$66,MATCH("A2",'Sources'!$A$6:$A$66,0))</x:f>
        <x:v>https://code.claude.com/docs/en/best-practices
https://code.claude.com/docs/en/how-claude-code-works</x:v>
      </x:c>
    </x:row>
    <x:row r="88" ht="46.5" customHeight="1">
      <x:c r="A88" s="22" t="str">
        <x:v>F23</x:v>
      </x:c>
      <x:c r="B88" s="22" t="str">
        <x:v>CLAUDE</x:v>
      </x:c>
      <x:c r="C88" s="30" t="n">
        <x:f>INDEX('Matrix'!$C$6:$P$35,MATCH(A88,'Matrix'!$A$6:$A$35,0),MATCH(B88,'Matrix'!$C$4:$P$4,0))</x:f>
        <x:v>0</x:v>
      </x:c>
      <x:c r="D88" s="22" t="str">
        <x:v>Versioned release and adoption</x:v>
      </x:c>
      <x:c r="E88" s="22" t="str">
        <x:v>Claude Code workflow</x:v>
      </x:c>
      <x:c r="F88" s="22" t="str">
        <x:v>Commit/PR guidance does not prescribe product release qualification or adoption of a changed governing basis.</x:v>
      </x:c>
      <x:c r="G88" s="22" t="str">
        <x:v>Published coverage; analyst judgment</x:v>
      </x:c>
      <x:c r="H88" s="22" t="str">
        <x:v>A1</x:v>
      </x:c>
      <x:c r="I88" s="50" t="str">
        <x:f>INDEX('Sources'!$D$6:$D$66,MATCH("A1",'Sources'!$A$6:$A$66,0))</x:f>
        <x:v>https://code.claude.com/docs/en/best-practices</x:v>
      </x:c>
    </x:row>
    <x:row r="89" ht="54" customHeight="1">
      <x:c r="A89" s="22" t="str">
        <x:v>F24</x:v>
      </x:c>
      <x:c r="B89" s="22" t="str">
        <x:v>CLAUDE</x:v>
      </x:c>
      <x:c r="C89" s="30" t="n">
        <x:f>INDEX('Matrix'!$C$6:$P$35,MATCH(A89,'Matrix'!$A$6:$A$35,0),MATCH(B89,'Matrix'!$C$4:$P$4,0))</x:f>
        <x:v>3</x:v>
      </x:c>
      <x:c r="D89" s="22" t="str">
        <x:v>Reuse and extensibility</x:v>
      </x:c>
      <x:c r="E89" s="22" t="str">
        <x:v>Claude Code workflow</x:v>
      </x:c>
      <x:c r="F89" s="22" t="str">
        <x:v>Task examples, reusable skills and contextual rules support ordinary agent use.</x:v>
      </x:c>
      <x:c r="G89" s="22" t="str">
        <x:v>Published coverage; analyst judgment</x:v>
      </x:c>
      <x:c r="H89" s="22" t="str">
        <x:v>A1, A2, A3</x:v>
      </x:c>
      <x:c r="I89" s="50" t="str">
        <x:f>INDEX('Sources'!$D$6:$D$66,MATCH("A1",'Sources'!$A$6:$A$66,0))&amp;CHAR(10)&amp;INDEX('Sources'!$D$6:$D$66,MATCH("A2",'Sources'!$A$6:$A$66,0))&amp;CHAR(10)&amp;INDEX('Sources'!$D$6:$D$66,MATCH("A3",'Sources'!$A$6:$A$66,0))</x:f>
        <x:v>https://code.claude.com/docs/en/best-practices
https://code.claude.com/docs/en/how-claude-code-works
https://code.claude.com/docs/en/memory</x:v>
      </x:c>
    </x:row>
    <x:row r="90" ht="54" customHeight="1">
      <x:c r="A90" s="22" t="str">
        <x:v>F25</x:v>
      </x:c>
      <x:c r="B90" s="22" t="str">
        <x:v>CLAUDE</x:v>
      </x:c>
      <x:c r="C90" s="30" t="n">
        <x:f>INDEX('Matrix'!$C$6:$P$35,MATCH(A90,'Matrix'!$A$6:$A$35,0),MATCH(B90,'Matrix'!$C$4:$P$4,0))</x:f>
        <x:v>3</x:v>
      </x:c>
      <x:c r="D90" s="22" t="str">
        <x:v>Process use beyond software</x:v>
      </x:c>
      <x:c r="E90" s="22" t="str">
        <x:v>Claude Code workflow</x:v>
      </x:c>
      <x:c r="F90" s="22" t="str">
        <x:v>Task examples, reusable skills and contextual rules support ordinary agent use.</x:v>
      </x:c>
      <x:c r="G90" s="22" t="str">
        <x:v>Published coverage; analyst judgment</x:v>
      </x:c>
      <x:c r="H90" s="22" t="str">
        <x:v>A1, A2, A3</x:v>
      </x:c>
      <x:c r="I90" s="50" t="str">
        <x:f>INDEX('Sources'!$D$6:$D$66,MATCH("A1",'Sources'!$A$6:$A$66,0))&amp;CHAR(10)&amp;INDEX('Sources'!$D$6:$D$66,MATCH("A2",'Sources'!$A$6:$A$66,0))&amp;CHAR(10)&amp;INDEX('Sources'!$D$6:$D$66,MATCH("A3",'Sources'!$A$6:$A$66,0))</x:f>
        <x:v>https://code.claude.com/docs/en/best-practices
https://code.claude.com/docs/en/how-claude-code-works
https://code.claude.com/docs/en/memory</x:v>
      </x:c>
    </x:row>
    <x:row r="91" ht="54" customHeight="1">
      <x:c r="A91" s="22" t="str">
        <x:v>F26</x:v>
      </x:c>
      <x:c r="B91" s="22" t="str">
        <x:v>CLAUDE</x:v>
      </x:c>
      <x:c r="C91" s="30" t="n">
        <x:f>INDEX('Matrix'!$C$6:$P$35,MATCH(A91,'Matrix'!$A$6:$A$35,0),MATCH(B91,'Matrix'!$C$4:$P$4,0))</x:f>
        <x:v>1</x:v>
      </x:c>
      <x:c r="D91" s="22" t="str">
        <x:v>Self-application</x:v>
      </x:c>
      <x:c r="E91" s="22" t="str">
        <x:v>Claude Code workflow</x:v>
      </x:c>
      <x:c r="F91" s="22" t="str">
        <x:v>Internal/external experience informs guidance; qualified self-development is not established.</x:v>
      </x:c>
      <x:c r="G91" s="22" t="str">
        <x:v>Published coverage; analyst judgment</x:v>
      </x:c>
      <x:c r="H91" s="22" t="str">
        <x:v>A1, A2, A3</x:v>
      </x:c>
      <x:c r="I91" s="50" t="str">
        <x:f>INDEX('Sources'!$D$6:$D$66,MATCH("A1",'Sources'!$A$6:$A$66,0))&amp;CHAR(10)&amp;INDEX('Sources'!$D$6:$D$66,MATCH("A2",'Sources'!$A$6:$A$66,0))&amp;CHAR(10)&amp;INDEX('Sources'!$D$6:$D$66,MATCH("A3",'Sources'!$A$6:$A$66,0))</x:f>
        <x:v>https://code.claude.com/docs/en/best-practices
https://code.claude.com/docs/en/how-claude-code-works
https://code.claude.com/docs/en/memory</x:v>
      </x:c>
    </x:row>
    <x:row r="92" ht="54" customHeight="1">
      <x:c r="A92" s="22" t="str">
        <x:v>F27</x:v>
      </x:c>
      <x:c r="B92" s="22" t="str">
        <x:v>CLAUDE</x:v>
      </x:c>
      <x:c r="C92" s="30" t="n">
        <x:f>INDEX('Matrix'!$C$6:$P$35,MATCH(A92,'Matrix'!$A$6:$A$35,0),MATCH(B92,'Matrix'!$C$4:$P$4,0))</x:f>
        <x:v>2</x:v>
      </x:c>
      <x:c r="D92" s="22" t="str">
        <x:v>AI-native method representation</x:v>
      </x:c>
      <x:c r="E92" s="22" t="str">
        <x:v>Claude Code workflow</x:v>
      </x:c>
      <x:c r="F92" s="22" t="str">
        <x:v>Task examples, reusable skills and contextual rules support ordinary agent use.</x:v>
      </x:c>
      <x:c r="G92" s="22" t="str">
        <x:v>Published coverage; analyst judgment</x:v>
      </x:c>
      <x:c r="H92" s="22" t="str">
        <x:v>A1, A2, A3</x:v>
      </x:c>
      <x:c r="I92" s="50" t="str">
        <x:f>INDEX('Sources'!$D$6:$D$66,MATCH("A1",'Sources'!$A$6:$A$66,0))&amp;CHAR(10)&amp;INDEX('Sources'!$D$6:$D$66,MATCH("A2",'Sources'!$A$6:$A$66,0))&amp;CHAR(10)&amp;INDEX('Sources'!$D$6:$D$66,MATCH("A3",'Sources'!$A$6:$A$66,0))</x:f>
        <x:v>https://code.claude.com/docs/en/best-practices
https://code.claude.com/docs/en/how-claude-code-works
https://code.claude.com/docs/en/memory</x:v>
      </x:c>
    </x:row>
    <x:row r="93" ht="54" customHeight="1">
      <x:c r="A93" s="22" t="str">
        <x:v>F28</x:v>
      </x:c>
      <x:c r="B93" s="22" t="str">
        <x:v>CLAUDE</x:v>
      </x:c>
      <x:c r="C93" s="30" t="n">
        <x:f>INDEX('Matrix'!$C$6:$P$35,MATCH(A93,'Matrix'!$A$6:$A$35,0),MATCH(B93,'Matrix'!$C$4:$P$4,0))</x:f>
        <x:v>3</x:v>
      </x:c>
      <x:c r="D93" s="22" t="str">
        <x:v>Onboarding and reader guidance</x:v>
      </x:c>
      <x:c r="E93" s="22" t="str">
        <x:v>Claude Code workflow</x:v>
      </x:c>
      <x:c r="F93" s="22" t="str">
        <x:v>Task examples, reusable skills and contextual rules support ordinary agent use.</x:v>
      </x:c>
      <x:c r="G93" s="22" t="str">
        <x:v>Published coverage; analyst judgment</x:v>
      </x:c>
      <x:c r="H93" s="22" t="str">
        <x:v>A1, A2, A3</x:v>
      </x:c>
      <x:c r="I93" s="50" t="str">
        <x:f>INDEX('Sources'!$D$6:$D$66,MATCH("A1",'Sources'!$A$6:$A$66,0))&amp;CHAR(10)&amp;INDEX('Sources'!$D$6:$D$66,MATCH("A2",'Sources'!$A$6:$A$66,0))&amp;CHAR(10)&amp;INDEX('Sources'!$D$6:$D$66,MATCH("A3",'Sources'!$A$6:$A$66,0))</x:f>
        <x:v>https://code.claude.com/docs/en/best-practices
https://code.claude.com/docs/en/how-claude-code-works
https://code.claude.com/docs/en/memory</x:v>
      </x:c>
    </x:row>
    <x:row r="94" ht="54" customHeight="1">
      <x:c r="A94" s="22" t="str">
        <x:v>F29</x:v>
      </x:c>
      <x:c r="B94" s="22" t="str">
        <x:v>CLAUDE</x:v>
      </x:c>
      <x:c r="C94" s="30" t="n">
        <x:f>INDEX('Matrix'!$C$6:$P$35,MATCH(A94,'Matrix'!$A$6:$A$35,0),MATCH(B94,'Matrix'!$C$4:$P$4,0))</x:f>
        <x:v>1</x:v>
      </x:c>
      <x:c r="D94" s="22" t="str">
        <x:v>Evidence of effectiveness</x:v>
      </x:c>
      <x:c r="E94" s="22" t="str">
        <x:v>Claude Code workflow</x:v>
      </x:c>
      <x:c r="F94" s="22" t="str">
        <x:v>Practitioner experience is reported; complete workflow effectiveness is not controlled.</x:v>
      </x:c>
      <x:c r="G94" s="22" t="str">
        <x:v>Published coverage; analyst judgment</x:v>
      </x:c>
      <x:c r="H94" s="22" t="str">
        <x:v>A1, A2, A3</x:v>
      </x:c>
      <x:c r="I94" s="50" t="str">
        <x:f>INDEX('Sources'!$D$6:$D$66,MATCH("A1",'Sources'!$A$6:$A$66,0))&amp;CHAR(10)&amp;INDEX('Sources'!$D$6:$D$66,MATCH("A2",'Sources'!$A$6:$A$66,0))&amp;CHAR(10)&amp;INDEX('Sources'!$D$6:$D$66,MATCH("A3",'Sources'!$A$6:$A$66,0))</x:f>
        <x:v>https://code.claude.com/docs/en/best-practices
https://code.claude.com/docs/en/how-claude-code-works
https://code.claude.com/docs/en/memory</x:v>
      </x:c>
    </x:row>
    <x:row r="95" ht="54" customHeight="1">
      <x:c r="A95" s="22" t="str">
        <x:v>F30</x:v>
      </x:c>
      <x:c r="B95" s="22" t="str">
        <x:v>CLAUDE</x:v>
      </x:c>
      <x:c r="C95" s="30" t="n">
        <x:f>INDEX('Matrix'!$C$6:$P$35,MATCH(A95,'Matrix'!$A$6:$A$35,0),MATCH(B95,'Matrix'!$C$4:$P$4,0))</x:f>
        <x:v>2</x:v>
      </x:c>
      <x:c r="D95" s="22" t="str">
        <x:v>Work and resource measurement</x:v>
      </x:c>
      <x:c r="E95" s="22" t="str">
        <x:v>Claude Code workflow</x:v>
      </x:c>
      <x:c r="F95" s="22" t="str">
        <x:v>Context usage is observable and subagent maxTurns is configurable; no end-to-end methodology cost benchmark is established.</x:v>
      </x:c>
      <x:c r="G95" s="22" t="str">
        <x:v>Published coverage; analyst judgment</x:v>
      </x:c>
      <x:c r="H95" s="22" t="str">
        <x:v>A1, A2, A5</x:v>
      </x:c>
      <x:c r="I95" s="50" t="str">
        <x:f>INDEX('Sources'!$D$6:$D$66,MATCH("A1",'Sources'!$A$6:$A$66,0))&amp;CHAR(10)&amp;INDEX('Sources'!$D$6:$D$66,MATCH("A2",'Sources'!$A$6:$A$66,0))&amp;CHAR(10)&amp;INDEX('Sources'!$D$6:$D$66,MATCH("A5",'Sources'!$A$6:$A$66,0))</x:f>
        <x:v>https://code.claude.com/docs/en/best-practices
https://code.claude.com/docs/en/how-claude-code-works
https://code.claude.com/docs/en/sub-agents</x:v>
      </x:c>
    </x:row>
    <x:row r="96" ht="46.5" customHeight="1">
      <x:c r="A96" s="22" t="str">
        <x:v>F01</x:v>
      </x:c>
      <x:c r="B96" s="22" t="str">
        <x:v>GOOGLE</x:v>
      </x:c>
      <x:c r="C96" s="30" t="n">
        <x:f>INDEX('Matrix'!$C$6:$P$35,MATCH(A96,'Matrix'!$A$6:$A$35,0),MATCH(B96,'Matrix'!$C$4:$P$4,0))</x:f>
        <x:v>3</x:v>
      </x:c>
      <x:c r="D96" s="22" t="str">
        <x:v>Intent and success criteria</x:v>
      </x:c>
      <x:c r="E96" s="22" t="str">
        <x:v>Antigravity 2.0</x:v>
      </x:c>
      <x:c r="F96" s="22" t="str">
        <x:v>Implementation plans declare changed files, dependencies and proposed behavior.</x:v>
      </x:c>
      <x:c r="G96" s="22" t="str">
        <x:v>Published coverage; analyst judgment</x:v>
      </x:c>
      <x:c r="H96" s="22" t="str">
        <x:v>G1, G2</x:v>
      </x:c>
      <x:c r="I96" s="50" t="str">
        <x:f>INDEX('Sources'!$D$6:$D$66,MATCH("G1",'Sources'!$A$6:$A$66,0))&amp;CHAR(10)&amp;INDEX('Sources'!$D$6:$D$66,MATCH("G2",'Sources'!$A$6:$A$66,0))</x:f>
        <x:v>https://antigravity.google/docs/cli/best-practices/
https://antigravity.google/docs/artifact-review</x:v>
      </x:c>
    </x:row>
    <x:row r="97" ht="46.5" customHeight="1">
      <x:c r="A97" s="22" t="str">
        <x:v>F02</x:v>
      </x:c>
      <x:c r="B97" s="22" t="str">
        <x:v>GOOGLE</x:v>
      </x:c>
      <x:c r="C97" s="30" t="n">
        <x:f>INDEX('Matrix'!$C$6:$P$35,MATCH(A97,'Matrix'!$A$6:$A$35,0),MATCH(B97,'Matrix'!$C$4:$P$4,0))</x:f>
        <x:v>1</x:v>
      </x:c>
      <x:c r="D97" s="22" t="str">
        <x:v>Product definition and scope</x:v>
      </x:c>
      <x:c r="E97" s="22" t="str">
        <x:v>Antigravity 2.0</x:v>
      </x:c>
      <x:c r="F97" s="22" t="str">
        <x:v>Implementation plans declare changed files, dependencies and proposed behavior.</x:v>
      </x:c>
      <x:c r="G97" s="22" t="str">
        <x:v>Published coverage; analyst judgment</x:v>
      </x:c>
      <x:c r="H97" s="22" t="str">
        <x:v>G1, G2</x:v>
      </x:c>
      <x:c r="I97" s="50" t="str">
        <x:f>INDEX('Sources'!$D$6:$D$66,MATCH("G1",'Sources'!$A$6:$A$66,0))&amp;CHAR(10)&amp;INDEX('Sources'!$D$6:$D$66,MATCH("G2",'Sources'!$A$6:$A$66,0))</x:f>
        <x:v>https://antigravity.google/docs/cli/best-practices/
https://antigravity.google/docs/artifact-review</x:v>
      </x:c>
    </x:row>
    <x:row r="98" ht="46.5" customHeight="1">
      <x:c r="A98" s="22" t="str">
        <x:v>F03</x:v>
      </x:c>
      <x:c r="B98" s="22" t="str">
        <x:v>GOOGLE</x:v>
      </x:c>
      <x:c r="C98" s="30" t="n">
        <x:f>INDEX('Matrix'!$C$6:$P$35,MATCH(A98,'Matrix'!$A$6:$A$35,0),MATCH(B98,'Matrix'!$C$4:$P$4,0))</x:f>
        <x:v>2</x:v>
      </x:c>
      <x:c r="D98" s="22" t="str">
        <x:v>Requirements before construction</x:v>
      </x:c>
      <x:c r="E98" s="22" t="str">
        <x:v>Antigravity 2.0</x:v>
      </x:c>
      <x:c r="F98" s="22" t="str">
        <x:v>Implementation plans declare changed files, dependencies and proposed behavior.</x:v>
      </x:c>
      <x:c r="G98" s="22" t="str">
        <x:v>Published coverage; analyst judgment</x:v>
      </x:c>
      <x:c r="H98" s="22" t="str">
        <x:v>G1, G2</x:v>
      </x:c>
      <x:c r="I98" s="50" t="str">
        <x:f>INDEX('Sources'!$D$6:$D$66,MATCH("G1",'Sources'!$A$6:$A$66,0))&amp;CHAR(10)&amp;INDEX('Sources'!$D$6:$D$66,MATCH("G2",'Sources'!$A$6:$A$66,0))</x:f>
        <x:v>https://antigravity.google/docs/cli/best-practices/
https://antigravity.google/docs/artifact-review</x:v>
      </x:c>
    </x:row>
    <x:row r="99" ht="46.5" customHeight="1">
      <x:c r="A99" s="22" t="str">
        <x:v>F04</x:v>
      </x:c>
      <x:c r="B99" s="22" t="str">
        <x:v>GOOGLE</x:v>
      </x:c>
      <x:c r="C99" s="30" t="n">
        <x:f>INDEX('Matrix'!$C$6:$P$35,MATCH(A99,'Matrix'!$A$6:$A$35,0),MATCH(B99,'Matrix'!$C$4:$P$4,0))</x:f>
        <x:v>2</x:v>
      </x:c>
      <x:c r="D99" s="22" t="str">
        <x:v>Design separated from requirements</x:v>
      </x:c>
      <x:c r="E99" s="22" t="str">
        <x:v>Antigravity 2.0</x:v>
      </x:c>
      <x:c r="F99" s="22" t="str">
        <x:v>Implementation plans declare changed files, dependencies and proposed behavior.</x:v>
      </x:c>
      <x:c r="G99" s="22" t="str">
        <x:v>Published coverage; analyst judgment</x:v>
      </x:c>
      <x:c r="H99" s="22" t="str">
        <x:v>G1, G2</x:v>
      </x:c>
      <x:c r="I99" s="50" t="str">
        <x:f>INDEX('Sources'!$D$6:$D$66,MATCH("G1",'Sources'!$A$6:$A$66,0))&amp;CHAR(10)&amp;INDEX('Sources'!$D$6:$D$66,MATCH("G2",'Sources'!$A$6:$A$66,0))</x:f>
        <x:v>https://antigravity.google/docs/cli/best-practices/
https://antigravity.google/docs/artifact-review</x:v>
      </x:c>
    </x:row>
    <x:row r="100" ht="46.5" customHeight="1">
      <x:c r="A100" s="22" t="str">
        <x:v>F05</x:v>
      </x:c>
      <x:c r="B100" s="22" t="str">
        <x:v>GOOGLE</x:v>
      </x:c>
      <x:c r="C100" s="30" t="n">
        <x:f>INDEX('Matrix'!$C$6:$P$35,MATCH(A100,'Matrix'!$A$6:$A$35,0),MATCH(B100,'Matrix'!$C$4:$P$4,0))</x:f>
        <x:v>2</x:v>
      </x:c>
      <x:c r="D100" s="22" t="str">
        <x:v>Traceability across stages</x:v>
      </x:c>
      <x:c r="E100" s="22" t="str">
        <x:v>Antigravity 2.0</x:v>
      </x:c>
      <x:c r="F100" s="22" t="str">
        <x:v>Implementation plans declare changed files, dependencies and proposed behavior.</x:v>
      </x:c>
      <x:c r="G100" s="22" t="str">
        <x:v>Published coverage; analyst judgment</x:v>
      </x:c>
      <x:c r="H100" s="22" t="str">
        <x:v>G1, G2</x:v>
      </x:c>
      <x:c r="I100" s="50" t="str">
        <x:f>INDEX('Sources'!$D$6:$D$66,MATCH("G1",'Sources'!$A$6:$A$66,0))&amp;CHAR(10)&amp;INDEX('Sources'!$D$6:$D$66,MATCH("G2",'Sources'!$A$6:$A$66,0))</x:f>
        <x:v>https://antigravity.google/docs/cli/best-practices/
https://antigravity.google/docs/artifact-review</x:v>
      </x:c>
    </x:row>
    <x:row r="101" ht="46.5" customHeight="1">
      <x:c r="A101" s="22" t="str">
        <x:v>F06</x:v>
      </x:c>
      <x:c r="B101" s="22" t="str">
        <x:v>GOOGLE</x:v>
      </x:c>
      <x:c r="C101" s="30" t="str">
        <x:f>INDEX('Matrix'!$C$6:$P$35,MATCH(A101,'Matrix'!$A$6:$A$35,0),MATCH(B101,'Matrix'!$C$4:$P$4,0))</x:f>
        <x:v>U</x:v>
      </x:c>
      <x:c r="D101" s="22" t="str">
        <x:v>Domain concepts and identity</x:v>
      </x:c>
      <x:c r="E101" s="22" t="str">
        <x:v>Antigravity 2.0</x:v>
      </x:c>
      <x:c r="F101" s="22" t="str">
        <x:v>Agent configuration and project instructions do not establish ownership of domain meaning.</x:v>
      </x:c>
      <x:c r="G101" s="22" t="str">
        <x:v>Published coverage; analyst judgment</x:v>
      </x:c>
      <x:c r="H101" s="22" t="str">
        <x:v>G1</x:v>
      </x:c>
      <x:c r="I101" s="50" t="str">
        <x:f>INDEX('Sources'!$D$6:$D$66,MATCH("G1",'Sources'!$A$6:$A$66,0))</x:f>
        <x:v>https://antigravity.google/docs/cli/best-practices/</x:v>
      </x:c>
    </x:row>
    <x:row r="102" ht="46.5" customHeight="1">
      <x:c r="A102" s="22" t="str">
        <x:v>F07</x:v>
      </x:c>
      <x:c r="B102" s="22" t="str">
        <x:v>GOOGLE</x:v>
      </x:c>
      <x:c r="C102" s="30" t="n">
        <x:f>INDEX('Matrix'!$C$6:$P$35,MATCH(A102,'Matrix'!$A$6:$A$35,0),MATCH(B102,'Matrix'!$C$4:$P$4,0))</x:f>
        <x:v>2</x:v>
      </x:c>
      <x:c r="D102" s="22" t="str">
        <x:v>Explicit inputs, outputs and contracts</x:v>
      </x:c>
      <x:c r="E102" s="22" t="str">
        <x:v>Antigravity 2.0</x:v>
      </x:c>
      <x:c r="F102" s="22" t="str">
        <x:v>Project rules and subagent configuration; semantic algebra is not established.</x:v>
      </x:c>
      <x:c r="G102" s="22" t="str">
        <x:v>Published coverage; analyst judgment</x:v>
      </x:c>
      <x:c r="H102" s="22" t="str">
        <x:v>G1, G3</x:v>
      </x:c>
      <x:c r="I102" s="50" t="str">
        <x:f>INDEX('Sources'!$D$6:$D$66,MATCH("G1",'Sources'!$A$6:$A$66,0))&amp;CHAR(10)&amp;INDEX('Sources'!$D$6:$D$66,MATCH("G3",'Sources'!$A$6:$A$66,0))</x:f>
        <x:v>https://antigravity.google/docs/cli/best-practices/
https://antigravity.google/docs/subagents/</x:v>
      </x:c>
    </x:row>
    <x:row r="103" ht="46.5" customHeight="1">
      <x:c r="A103" s="22" t="str">
        <x:v>F08</x:v>
      </x:c>
      <x:c r="B103" s="22" t="str">
        <x:v>GOOGLE</x:v>
      </x:c>
      <x:c r="C103" s="30" t="n">
        <x:f>INDEX('Matrix'!$C$6:$P$35,MATCH(A103,'Matrix'!$A$6:$A$35,0),MATCH(B103,'Matrix'!$C$4:$P$4,0))</x:f>
        <x:v>2</x:v>
      </x:c>
      <x:c r="D103" s="22" t="str">
        <x:v>Invariants and semantic constraints</x:v>
      </x:c>
      <x:c r="E103" s="22" t="str">
        <x:v>Antigravity 2.0</x:v>
      </x:c>
      <x:c r="F103" s="22" t="str">
        <x:v>Project rules and subagent configuration; semantic algebra is not established.</x:v>
      </x:c>
      <x:c r="G103" s="22" t="str">
        <x:v>Published coverage; analyst judgment</x:v>
      </x:c>
      <x:c r="H103" s="22" t="str">
        <x:v>G1, G3</x:v>
      </x:c>
      <x:c r="I103" s="50" t="str">
        <x:f>INDEX('Sources'!$D$6:$D$66,MATCH("G1",'Sources'!$A$6:$A$66,0))&amp;CHAR(10)&amp;INDEX('Sources'!$D$6:$D$66,MATCH("G3",'Sources'!$A$6:$A$66,0))</x:f>
        <x:v>https://antigravity.google/docs/cli/best-practices/
https://antigravity.google/docs/subagents/</x:v>
      </x:c>
    </x:row>
    <x:row r="104" ht="46.5" customHeight="1">
      <x:c r="A104" s="22" t="str">
        <x:v>F09</x:v>
      </x:c>
      <x:c r="B104" s="22" t="str">
        <x:v>GOOGLE</x:v>
      </x:c>
      <x:c r="C104" s="30" t="n">
        <x:f>INDEX('Matrix'!$C$6:$P$35,MATCH(A104,'Matrix'!$A$6:$A$35,0),MATCH(B104,'Matrix'!$C$4:$P$4,0))</x:f>
        <x:v>1</x:v>
      </x:c>
      <x:c r="D104" s="22" t="str">
        <x:v>Composition and formal reasoning</x:v>
      </x:c>
      <x:c r="E104" s="22" t="str">
        <x:v>Antigravity 2.0</x:v>
      </x:c>
      <x:c r="F104" s="22" t="str">
        <x:v>Permission inheritance supplies limited operational composition constraints; semantic algebra is not established.</x:v>
      </x:c>
      <x:c r="G104" s="22" t="str">
        <x:v>Published coverage; analyst judgment</x:v>
      </x:c>
      <x:c r="H104" s="22" t="str">
        <x:v>G3</x:v>
      </x:c>
      <x:c r="I104" s="50" t="str">
        <x:f>INDEX('Sources'!$D$6:$D$66,MATCH("G3",'Sources'!$A$6:$A$66,0))</x:f>
        <x:v>https://antigravity.google/docs/subagents/</x:v>
      </x:c>
    </x:row>
    <x:row r="105" ht="46.5" customHeight="1">
      <x:c r="A105" s="22" t="str">
        <x:v>F10</x:v>
      </x:c>
      <x:c r="B105" s="22" t="str">
        <x:v>GOOGLE</x:v>
      </x:c>
      <x:c r="C105" s="30" t="n">
        <x:f>INDEX('Matrix'!$C$6:$P$35,MATCH(A105,'Matrix'!$A$6:$A$35,0),MATCH(B105,'Matrix'!$C$4:$P$4,0))</x:f>
        <x:v>3</x:v>
      </x:c>
      <x:c r="D105" s="22" t="str">
        <x:v>Relevant context selection</x:v>
      </x:c>
      <x:c r="E105" s="22" t="str">
        <x:v>Antigravity 2.0</x:v>
      </x:c>
      <x:c r="F105" s="22" t="str">
        <x:v>Separate worker contexts, worktrees, forks and bounded nesting support decomposition.</x:v>
      </x:c>
      <x:c r="G105" s="22" t="str">
        <x:v>Published coverage; analyst judgment</x:v>
      </x:c>
      <x:c r="H105" s="22" t="str">
        <x:v>G1, G3</x:v>
      </x:c>
      <x:c r="I105" s="50" t="str">
        <x:f>INDEX('Sources'!$D$6:$D$66,MATCH("G1",'Sources'!$A$6:$A$66,0))&amp;CHAR(10)&amp;INDEX('Sources'!$D$6:$D$66,MATCH("G3",'Sources'!$A$6:$A$66,0))</x:f>
        <x:v>https://antigravity.google/docs/cli/best-practices/
https://antigravity.google/docs/subagents/</x:v>
      </x:c>
    </x:row>
    <x:row r="106" ht="46.5" customHeight="1">
      <x:c r="A106" s="22" t="str">
        <x:v>F11</x:v>
      </x:c>
      <x:c r="B106" s="22" t="str">
        <x:v>GOOGLE</x:v>
      </x:c>
      <x:c r="C106" s="30" t="n">
        <x:f>INDEX('Matrix'!$C$6:$P$35,MATCH(A106,'Matrix'!$A$6:$A$35,0),MATCH(B106,'Matrix'!$C$4:$P$4,0))</x:f>
        <x:v>2</x:v>
      </x:c>
      <x:c r="D106" s="22" t="str">
        <x:v>Attention fit and proportionality</x:v>
      </x:c>
      <x:c r="E106" s="22" t="str">
        <x:v>Antigravity 2.0</x:v>
      </x:c>
      <x:c r="F106" s="22" t="str">
        <x:v>Separate worker contexts, worktrees, forks and bounded nesting support decomposition.</x:v>
      </x:c>
      <x:c r="G106" s="22" t="str">
        <x:v>Published coverage; analyst judgment</x:v>
      </x:c>
      <x:c r="H106" s="22" t="str">
        <x:v>G1, G3</x:v>
      </x:c>
      <x:c r="I106" s="50" t="str">
        <x:f>INDEX('Sources'!$D$6:$D$66,MATCH("G1",'Sources'!$A$6:$A$66,0))&amp;CHAR(10)&amp;INDEX('Sources'!$D$6:$D$66,MATCH("G3",'Sources'!$A$6:$A$66,0))</x:f>
        <x:v>https://antigravity.google/docs/cli/best-practices/
https://antigravity.google/docs/subagents/</x:v>
      </x:c>
    </x:row>
    <x:row r="107" ht="46.5" customHeight="1">
      <x:c r="A107" s="22" t="str">
        <x:v>F12</x:v>
      </x:c>
      <x:c r="B107" s="22" t="str">
        <x:v>GOOGLE</x:v>
      </x:c>
      <x:c r="C107" s="30" t="n">
        <x:f>INDEX('Matrix'!$C$6:$P$35,MATCH(A107,'Matrix'!$A$6:$A$35,0),MATCH(B107,'Matrix'!$C$4:$P$4,0))</x:f>
        <x:v>3</x:v>
      </x:c>
      <x:c r="D107" s="22" t="str">
        <x:v>Bounded probabilistic construction</x:v>
      </x:c>
      <x:c r="E107" s="22" t="str">
        <x:v>Antigravity 2.0</x:v>
      </x:c>
      <x:c r="F107" s="22" t="str">
        <x:v>Separate worker contexts, worktrees, forks and bounded nesting support decomposition.</x:v>
      </x:c>
      <x:c r="G107" s="22" t="str">
        <x:v>Published coverage; analyst judgment</x:v>
      </x:c>
      <x:c r="H107" s="22" t="str">
        <x:v>G1, G3</x:v>
      </x:c>
      <x:c r="I107" s="50" t="str">
        <x:f>INDEX('Sources'!$D$6:$D$66,MATCH("G1",'Sources'!$A$6:$A$66,0))&amp;CHAR(10)&amp;INDEX('Sources'!$D$6:$D$66,MATCH("G3",'Sources'!$A$6:$A$66,0))</x:f>
        <x:v>https://antigravity.google/docs/cli/best-practices/
https://antigravity.google/docs/subagents/</x:v>
      </x:c>
    </x:row>
    <x:row r="108" ht="46.5" customHeight="1">
      <x:c r="A108" s="22" t="str">
        <x:v>F13</x:v>
      </x:c>
      <x:c r="B108" s="22" t="str">
        <x:v>GOOGLE</x:v>
      </x:c>
      <x:c r="C108" s="30" t="n">
        <x:f>INDEX('Matrix'!$C$6:$P$35,MATCH(A108,'Matrix'!$A$6:$A$35,0),MATCH(B108,'Matrix'!$C$4:$P$4,0))</x:f>
        <x:v>3</x:v>
      </x:c>
      <x:c r="D108" s="22" t="str">
        <x:v>Decomposition and recursive workflows</x:v>
      </x:c>
      <x:c r="E108" s="22" t="str">
        <x:v>Antigravity 2.0</x:v>
      </x:c>
      <x:c r="F108" s="22" t="str">
        <x:v>Separate worker contexts, worktrees, forks and bounded nesting support decomposition.</x:v>
      </x:c>
      <x:c r="G108" s="22" t="str">
        <x:v>Published coverage; analyst judgment</x:v>
      </x:c>
      <x:c r="H108" s="22" t="str">
        <x:v>G1, G3</x:v>
      </x:c>
      <x:c r="I108" s="50" t="str">
        <x:f>INDEX('Sources'!$D$6:$D$66,MATCH("G1",'Sources'!$A$6:$A$66,0))&amp;CHAR(10)&amp;INDEX('Sources'!$D$6:$D$66,MATCH("G3",'Sources'!$A$6:$A$66,0))</x:f>
        <x:v>https://antigravity.google/docs/cli/best-practices/
https://antigravity.google/docs/subagents/</x:v>
      </x:c>
    </x:row>
    <x:row r="109" ht="46.5" customHeight="1">
      <x:c r="A109" s="22" t="str">
        <x:v>F14</x:v>
      </x:c>
      <x:c r="B109" s="22" t="str">
        <x:v>GOOGLE</x:v>
      </x:c>
      <x:c r="C109" s="30" t="n">
        <x:f>INDEX('Matrix'!$C$6:$P$35,MATCH(A109,'Matrix'!$A$6:$A$35,0),MATCH(B109,'Matrix'!$C$4:$P$4,0))</x:f>
        <x:v>3</x:v>
      </x:c>
      <x:c r="D109" s="22" t="str">
        <x:v>Durable state and resumption</x:v>
      </x:c>
      <x:c r="E109" s="22" t="str">
        <x:v>Antigravity 2.0</x:v>
      </x:c>
      <x:c r="F109" s="22" t="str">
        <x:v>Separate worker contexts, worktrees, forks and bounded nesting support decomposition.</x:v>
      </x:c>
      <x:c r="G109" s="22" t="str">
        <x:v>Published coverage; analyst judgment</x:v>
      </x:c>
      <x:c r="H109" s="22" t="str">
        <x:v>G1, G3</x:v>
      </x:c>
      <x:c r="I109" s="50" t="str">
        <x:f>INDEX('Sources'!$D$6:$D$66,MATCH("G1",'Sources'!$A$6:$A$66,0))&amp;CHAR(10)&amp;INDEX('Sources'!$D$6:$D$66,MATCH("G3",'Sources'!$A$6:$A$66,0))</x:f>
        <x:v>https://antigravity.google/docs/cli/best-practices/
https://antigravity.google/docs/subagents/</x:v>
      </x:c>
    </x:row>
    <x:row r="110" ht="46.5" customHeight="1">
      <x:c r="A110" s="22" t="str">
        <x:v>F15</x:v>
      </x:c>
      <x:c r="B110" s="22" t="str">
        <x:v>GOOGLE</x:v>
      </x:c>
      <x:c r="C110" s="30" t="n">
        <x:f>INDEX('Matrix'!$C$6:$P$35,MATCH(A110,'Matrix'!$A$6:$A$35,0),MATCH(B110,'Matrix'!$C$4:$P$4,0))</x:f>
        <x:v>3</x:v>
      </x:c>
      <x:c r="D110" s="22" t="str">
        <x:v>Observation and next-action feedback</x:v>
      </x:c>
      <x:c r="E110" s="22" t="str">
        <x:v>Antigravity 2.0</x:v>
      </x:c>
      <x:c r="F110" s="22" t="str">
        <x:v>Separate worker contexts, worktrees, forks and bounded nesting support decomposition.</x:v>
      </x:c>
      <x:c r="G110" s="22" t="str">
        <x:v>Published coverage; analyst judgment</x:v>
      </x:c>
      <x:c r="H110" s="22" t="str">
        <x:v>G1, G3</x:v>
      </x:c>
      <x:c r="I110" s="50" t="str">
        <x:f>INDEX('Sources'!$D$6:$D$66,MATCH("G1",'Sources'!$A$6:$A$66,0))&amp;CHAR(10)&amp;INDEX('Sources'!$D$6:$D$66,MATCH("G3",'Sources'!$A$6:$A$66,0))</x:f>
        <x:v>https://antigravity.google/docs/cli/best-practices/
https://antigravity.google/docs/subagents/</x:v>
      </x:c>
    </x:row>
    <x:row r="111" ht="46.5" customHeight="1">
      <x:c r="A111" s="22" t="str">
        <x:v>F16</x:v>
      </x:c>
      <x:c r="B111" s="22" t="str">
        <x:v>GOOGLE</x:v>
      </x:c>
      <x:c r="C111" s="30" t="n">
        <x:f>INDEX('Matrix'!$C$6:$P$35,MATCH(A111,'Matrix'!$A$6:$A$35,0),MATCH(B111,'Matrix'!$C$4:$P$4,0))</x:f>
        <x:v>2</x:v>
      </x:c>
      <x:c r="D111" s="22" t="str">
        <x:v>Uncertainty, stops and re-entry</x:v>
      </x:c>
      <x:c r="E111" s="22" t="str">
        <x:v>Antigravity 2.0</x:v>
      </x:c>
      <x:c r="F111" s="22" t="str">
        <x:v>Separate worker contexts, worktrees, forks and bounded nesting support decomposition.</x:v>
      </x:c>
      <x:c r="G111" s="22" t="str">
        <x:v>Published coverage; analyst judgment</x:v>
      </x:c>
      <x:c r="H111" s="22" t="str">
        <x:v>G1, G3</x:v>
      </x:c>
      <x:c r="I111" s="50" t="str">
        <x:f>INDEX('Sources'!$D$6:$D$66,MATCH("G1",'Sources'!$A$6:$A$66,0))&amp;CHAR(10)&amp;INDEX('Sources'!$D$6:$D$66,MATCH("G3",'Sources'!$A$6:$A$66,0))</x:f>
        <x:v>https://antigravity.google/docs/cli/best-practices/
https://antigravity.google/docs/subagents/</x:v>
      </x:c>
    </x:row>
    <x:row r="112" ht="68.25" customHeight="1">
      <x:c r="A112" s="22" t="str">
        <x:v>F17</x:v>
      </x:c>
      <x:c r="B112" s="22" t="str">
        <x:v>GOOGLE</x:v>
      </x:c>
      <x:c r="C112" s="30" t="n">
        <x:f>INDEX('Matrix'!$C$6:$P$35,MATCH(A112,'Matrix'!$A$6:$A$35,0),MATCH(B112,'Matrix'!$C$4:$P$4,0))</x:f>
        <x:v>3</x:v>
      </x:c>
      <x:c r="D112" s="22" t="str">
        <x:v>Permissions and effect boundaries</x:v>
      </x:c>
      <x:c r="E112" s="22" t="str">
        <x:v>Antigravity 2.0</x:v>
      </x:c>
      <x:c r="F112" s="22" t="str">
        <x:v>Artifact approval, tests, sandboxing and optional coordinated verification.</x:v>
      </x:c>
      <x:c r="G112" s="22" t="str">
        <x:v>Published coverage; analyst judgment</x:v>
      </x:c>
      <x:c r="H112" s="22" t="str">
        <x:v>G1, G2, G3, G4</x:v>
      </x:c>
      <x:c r="I112" s="50" t="str">
        <x:f>INDEX('Sources'!$D$6:$D$66,MATCH("G1",'Sources'!$A$6:$A$66,0))&amp;CHAR(10)&amp;INDEX('Sources'!$D$6:$D$66,MATCH("G2",'Sources'!$A$6:$A$66,0))&amp;CHAR(10)&amp;INDEX('Sources'!$D$6:$D$66,MATCH("G3",'Sources'!$A$6:$A$66,0))&amp;CHAR(10)&amp;INDEX('Sources'!$D$6:$D$66,MATCH("G4",'Sources'!$A$6:$A$66,0))</x:f>
        <x:v>https://antigravity.google/docs/cli/best-practices/
https://antigravity.google/docs/artifact-review
https://antigravity.google/docs/subagents/
https://antigravity.google/docs/agent-settings</x:v>
      </x:c>
    </x:row>
    <x:row r="113" ht="68.25" customHeight="1">
      <x:c r="A113" s="22" t="str">
        <x:v>F18</x:v>
      </x:c>
      <x:c r="B113" s="22" t="str">
        <x:v>GOOGLE</x:v>
      </x:c>
      <x:c r="C113" s="30" t="n">
        <x:f>INDEX('Matrix'!$C$6:$P$35,MATCH(A113,'Matrix'!$A$6:$A$35,0),MATCH(B113,'Matrix'!$C$4:$P$4,0))</x:f>
        <x:v>2</x:v>
      </x:c>
      <x:c r="D113" s="22" t="str">
        <x:v>Independent assessment</x:v>
      </x:c>
      <x:c r="E113" s="22" t="str">
        <x:v>Antigravity 2.0</x:v>
      </x:c>
      <x:c r="F113" s="22" t="str">
        <x:v>Independent verification is an optional orchestration feature.</x:v>
      </x:c>
      <x:c r="G113" s="22" t="str">
        <x:v>Published coverage; analyst judgment</x:v>
      </x:c>
      <x:c r="H113" s="22" t="str">
        <x:v>G1, G2, G3, G4</x:v>
      </x:c>
      <x:c r="I113" s="50" t="str">
        <x:f>INDEX('Sources'!$D$6:$D$66,MATCH("G1",'Sources'!$A$6:$A$66,0))&amp;CHAR(10)&amp;INDEX('Sources'!$D$6:$D$66,MATCH("G2",'Sources'!$A$6:$A$66,0))&amp;CHAR(10)&amp;INDEX('Sources'!$D$6:$D$66,MATCH("G3",'Sources'!$A$6:$A$66,0))&amp;CHAR(10)&amp;INDEX('Sources'!$D$6:$D$66,MATCH("G4",'Sources'!$A$6:$A$66,0))</x:f>
        <x:v>https://antigravity.google/docs/cli/best-practices/
https://antigravity.google/docs/artifact-review
https://antigravity.google/docs/subagents/
https://antigravity.google/docs/agent-settings</x:v>
      </x:c>
    </x:row>
    <x:row r="114" ht="46.5" customHeight="1">
      <x:c r="A114" s="22" t="str">
        <x:v>F19</x:v>
      </x:c>
      <x:c r="B114" s="22" t="str">
        <x:v>GOOGLE</x:v>
      </x:c>
      <x:c r="C114" s="30" t="n">
        <x:f>INDEX('Matrix'!$C$6:$P$35,MATCH(A114,'Matrix'!$A$6:$A$35,0),MATCH(B114,'Matrix'!$C$4:$P$4,0))</x:f>
        <x:v>2</x:v>
      </x:c>
      <x:c r="D114" s="22" t="str">
        <x:v>Operational and negative tests</x:v>
      </x:c>
      <x:c r="E114" s="22" t="str">
        <x:v>Antigravity 2.0</x:v>
      </x:c>
      <x:c r="F114" s="22" t="str">
        <x:v>Local verification is explicit; systematic material negative-case coverage is not established.</x:v>
      </x:c>
      <x:c r="G114" s="22" t="str">
        <x:v>Published coverage; analyst judgment</x:v>
      </x:c>
      <x:c r="H114" s="22" t="str">
        <x:v>G1, G3</x:v>
      </x:c>
      <x:c r="I114" s="50" t="str">
        <x:f>INDEX('Sources'!$D$6:$D$66,MATCH("G1",'Sources'!$A$6:$A$66,0))&amp;CHAR(10)&amp;INDEX('Sources'!$D$6:$D$66,MATCH("G3",'Sources'!$A$6:$A$66,0))</x:f>
        <x:v>https://antigravity.google/docs/cli/best-practices/
https://antigravity.google/docs/subagents/</x:v>
      </x:c>
    </x:row>
    <x:row r="115" ht="68.25" customHeight="1">
      <x:c r="A115" s="22" t="str">
        <x:v>F20</x:v>
      </x:c>
      <x:c r="B115" s="22" t="str">
        <x:v>GOOGLE</x:v>
      </x:c>
      <x:c r="C115" s="30" t="n">
        <x:f>INDEX('Matrix'!$C$6:$P$35,MATCH(A115,'Matrix'!$A$6:$A$35,0),MATCH(B115,'Matrix'!$C$4:$P$4,0))</x:f>
        <x:v>1</x:v>
      </x:c>
      <x:c r="D115" s="22" t="str">
        <x:v>Claim and evidence separation</x:v>
      </x:c>
      <x:c r="E115" s="22" t="str">
        <x:v>Antigravity 2.0</x:v>
      </x:c>
      <x:c r="F115" s="22" t="str">
        <x:v>Artifact approval, tests, sandboxing and optional coordinated verification.</x:v>
      </x:c>
      <x:c r="G115" s="22" t="str">
        <x:v>Published coverage; analyst judgment</x:v>
      </x:c>
      <x:c r="H115" s="22" t="str">
        <x:v>G1, G2, G3, G4</x:v>
      </x:c>
      <x:c r="I115" s="50" t="str">
        <x:f>INDEX('Sources'!$D$6:$D$66,MATCH("G1",'Sources'!$A$6:$A$66,0))&amp;CHAR(10)&amp;INDEX('Sources'!$D$6:$D$66,MATCH("G2",'Sources'!$A$6:$A$66,0))&amp;CHAR(10)&amp;INDEX('Sources'!$D$6:$D$66,MATCH("G3",'Sources'!$A$6:$A$66,0))&amp;CHAR(10)&amp;INDEX('Sources'!$D$6:$D$66,MATCH("G4",'Sources'!$A$6:$A$66,0))</x:f>
        <x:v>https://antigravity.google/docs/cli/best-practices/
https://antigravity.google/docs/artifact-review
https://antigravity.google/docs/subagents/
https://antigravity.google/docs/agent-settings</x:v>
      </x:c>
    </x:row>
    <x:row r="116" ht="68.25" customHeight="1">
      <x:c r="A116" s="22" t="str">
        <x:v>F21</x:v>
      </x:c>
      <x:c r="B116" s="22" t="str">
        <x:v>GOOGLE</x:v>
      </x:c>
      <x:c r="C116" s="30" t="n">
        <x:f>INDEX('Matrix'!$C$6:$P$35,MATCH(A116,'Matrix'!$A$6:$A$35,0),MATCH(B116,'Matrix'!$C$4:$P$4,0))</x:f>
        <x:v>2</x:v>
      </x:c>
      <x:c r="D116" s="22" t="str">
        <x:v>Provenance and auditability</x:v>
      </x:c>
      <x:c r="E116" s="22" t="str">
        <x:v>Antigravity 2.0</x:v>
      </x:c>
      <x:c r="F116" s="22" t="str">
        <x:v>Artifact approval, tests, sandboxing and optional coordinated verification.</x:v>
      </x:c>
      <x:c r="G116" s="22" t="str">
        <x:v>Published coverage; analyst judgment</x:v>
      </x:c>
      <x:c r="H116" s="22" t="str">
        <x:v>G1, G2, G3, G4</x:v>
      </x:c>
      <x:c r="I116" s="50" t="str">
        <x:f>INDEX('Sources'!$D$6:$D$66,MATCH("G1",'Sources'!$A$6:$A$66,0))&amp;CHAR(10)&amp;INDEX('Sources'!$D$6:$D$66,MATCH("G2",'Sources'!$A$6:$A$66,0))&amp;CHAR(10)&amp;INDEX('Sources'!$D$6:$D$66,MATCH("G3",'Sources'!$A$6:$A$66,0))&amp;CHAR(10)&amp;INDEX('Sources'!$D$6:$D$66,MATCH("G4",'Sources'!$A$6:$A$66,0))</x:f>
        <x:v>https://antigravity.google/docs/cli/best-practices/
https://antigravity.google/docs/artifact-review
https://antigravity.google/docs/subagents/
https://antigravity.google/docs/agent-settings</x:v>
      </x:c>
    </x:row>
    <x:row r="117" ht="46.5" customHeight="1">
      <x:c r="A117" s="22" t="str">
        <x:v>F22</x:v>
      </x:c>
      <x:c r="B117" s="22" t="str">
        <x:v>GOOGLE</x:v>
      </x:c>
      <x:c r="C117" s="30" t="n">
        <x:f>INDEX('Matrix'!$C$6:$P$35,MATCH(A117,'Matrix'!$A$6:$A$35,0),MATCH(B117,'Matrix'!$C$4:$P$4,0))</x:f>
        <x:v>1</x:v>
      </x:c>
      <x:c r="D117" s="22" t="str">
        <x:v>Change impact and specification revision</x:v>
      </x:c>
      <x:c r="E117" s="22" t="str">
        <x:v>Antigravity 2.0</x:v>
      </x:c>
      <x:c r="F117" s="22" t="str">
        <x:v>Replanning and worktrees support change; preserving valid unaffected claims under revised requirements is not established.</x:v>
      </x:c>
      <x:c r="G117" s="22" t="str">
        <x:v>Published coverage; analyst judgment</x:v>
      </x:c>
      <x:c r="H117" s="22" t="str">
        <x:v>G1</x:v>
      </x:c>
      <x:c r="I117" s="50" t="str">
        <x:f>INDEX('Sources'!$D$6:$D$66,MATCH("G1",'Sources'!$A$6:$A$66,0))</x:f>
        <x:v>https://antigravity.google/docs/cli/best-practices/</x:v>
      </x:c>
    </x:row>
    <x:row r="118" ht="46.5" customHeight="1">
      <x:c r="A118" s="22" t="str">
        <x:v>F23</x:v>
      </x:c>
      <x:c r="B118" s="22" t="str">
        <x:v>GOOGLE</x:v>
      </x:c>
      <x:c r="C118" s="30" t="str">
        <x:f>INDEX('Matrix'!$C$6:$P$35,MATCH(A118,'Matrix'!$A$6:$A$35,0),MATCH(B118,'Matrix'!$C$4:$P$4,0))</x:f>
        <x:v>U</x:v>
      </x:c>
      <x:c r="D118" s="22" t="str">
        <x:v>Versioned release and adoption</x:v>
      </x:c>
      <x:c r="E118" s="22" t="str">
        <x:v>Antigravity 2.0</x:v>
      </x:c>
      <x:c r="F118" s="22" t="str">
        <x:v>Inspected workflow sources do not establish product release identity, qualification and changed-basis adoption.</x:v>
      </x:c>
      <x:c r="G118" s="22" t="str">
        <x:v>Published coverage; analyst judgment</x:v>
      </x:c>
      <x:c r="H118" s="22" t="str">
        <x:v>G1</x:v>
      </x:c>
      <x:c r="I118" s="50" t="str">
        <x:f>INDEX('Sources'!$D$6:$D$66,MATCH("G1",'Sources'!$A$6:$A$66,0))</x:f>
        <x:v>https://antigravity.google/docs/cli/best-practices/</x:v>
      </x:c>
    </x:row>
    <x:row r="119" ht="46.5" customHeight="1">
      <x:c r="A119" s="22" t="str">
        <x:v>F24</x:v>
      </x:c>
      <x:c r="B119" s="22" t="str">
        <x:v>GOOGLE</x:v>
      </x:c>
      <x:c r="C119" s="30" t="n">
        <x:f>INDEX('Matrix'!$C$6:$P$35,MATCH(A119,'Matrix'!$A$6:$A$35,0),MATCH(B119,'Matrix'!$C$4:$P$4,0))</x:f>
        <x:v>3</x:v>
      </x:c>
      <x:c r="D119" s="22" t="str">
        <x:v>Reuse and extensibility</x:v>
      </x:c>
      <x:c r="E119" s="22" t="str">
        <x:v>Antigravity 2.0</x:v>
      </x:c>
      <x:c r="F119" s="22" t="str">
        <x:v>Skills, MCP and custom research/audit agents extend the platform.</x:v>
      </x:c>
      <x:c r="G119" s="22" t="str">
        <x:v>Published coverage; analyst judgment</x:v>
      </x:c>
      <x:c r="H119" s="22" t="str">
        <x:v>G1, G3</x:v>
      </x:c>
      <x:c r="I119" s="50" t="str">
        <x:f>INDEX('Sources'!$D$6:$D$66,MATCH("G1",'Sources'!$A$6:$A$66,0))&amp;CHAR(10)&amp;INDEX('Sources'!$D$6:$D$66,MATCH("G3",'Sources'!$A$6:$A$66,0))</x:f>
        <x:v>https://antigravity.google/docs/cli/best-practices/
https://antigravity.google/docs/subagents/</x:v>
      </x:c>
    </x:row>
    <x:row r="120" ht="46.5" customHeight="1">
      <x:c r="A120" s="22" t="str">
        <x:v>F25</x:v>
      </x:c>
      <x:c r="B120" s="22" t="str">
        <x:v>GOOGLE</x:v>
      </x:c>
      <x:c r="C120" s="30" t="n">
        <x:f>INDEX('Matrix'!$C$6:$P$35,MATCH(A120,'Matrix'!$A$6:$A$35,0),MATCH(B120,'Matrix'!$C$4:$P$4,0))</x:f>
        <x:v>2</x:v>
      </x:c>
      <x:c r="D120" s="22" t="str">
        <x:v>Process use beyond software</x:v>
      </x:c>
      <x:c r="E120" s="22" t="str">
        <x:v>Antigravity 2.0</x:v>
      </x:c>
      <x:c r="F120" s="22" t="str">
        <x:v>Skills, MCP and custom research/audit agents extend the platform.</x:v>
      </x:c>
      <x:c r="G120" s="22" t="str">
        <x:v>Published coverage; analyst judgment</x:v>
      </x:c>
      <x:c r="H120" s="22" t="str">
        <x:v>G1, G3</x:v>
      </x:c>
      <x:c r="I120" s="50" t="str">
        <x:f>INDEX('Sources'!$D$6:$D$66,MATCH("G1",'Sources'!$A$6:$A$66,0))&amp;CHAR(10)&amp;INDEX('Sources'!$D$6:$D$66,MATCH("G3",'Sources'!$A$6:$A$66,0))</x:f>
        <x:v>https://antigravity.google/docs/cli/best-practices/
https://antigravity.google/docs/subagents/</x:v>
      </x:c>
    </x:row>
    <x:row r="121" ht="46.5" customHeight="1">
      <x:c r="A121" s="22" t="str">
        <x:v>F26</x:v>
      </x:c>
      <x:c r="B121" s="22" t="str">
        <x:v>GOOGLE</x:v>
      </x:c>
      <x:c r="C121" s="30" t="str">
        <x:f>INDEX('Matrix'!$C$6:$P$35,MATCH(A121,'Matrix'!$A$6:$A$35,0),MATCH(B121,'Matrix'!$C$4:$P$4,0))</x:f>
        <x:v>U</x:v>
      </x:c>
      <x:c r="D121" s="22" t="str">
        <x:v>Self-application</x:v>
      </x:c>
      <x:c r="E121" s="22" t="str">
        <x:v>Antigravity 2.0</x:v>
      </x:c>
      <x:c r="F121" s="22" t="str">
        <x:v>Inspected sources do not establish methodological self-application.</x:v>
      </x:c>
      <x:c r="G121" s="22" t="str">
        <x:v>Published coverage; analyst judgment</x:v>
      </x:c>
      <x:c r="H121" s="22" t="str">
        <x:v>G1, G3</x:v>
      </x:c>
      <x:c r="I121" s="50" t="str">
        <x:f>INDEX('Sources'!$D$6:$D$66,MATCH("G1",'Sources'!$A$6:$A$66,0))&amp;CHAR(10)&amp;INDEX('Sources'!$D$6:$D$66,MATCH("G3",'Sources'!$A$6:$A$66,0))</x:f>
        <x:v>https://antigravity.google/docs/cli/best-practices/
https://antigravity.google/docs/subagents/</x:v>
      </x:c>
    </x:row>
    <x:row r="122" ht="46.5" customHeight="1">
      <x:c r="A122" s="22" t="str">
        <x:v>F27</x:v>
      </x:c>
      <x:c r="B122" s="22" t="str">
        <x:v>GOOGLE</x:v>
      </x:c>
      <x:c r="C122" s="30" t="n">
        <x:f>INDEX('Matrix'!$C$6:$P$35,MATCH(A122,'Matrix'!$A$6:$A$35,0),MATCH(B122,'Matrix'!$C$4:$P$4,0))</x:f>
        <x:v>2</x:v>
      </x:c>
      <x:c r="D122" s="22" t="str">
        <x:v>AI-native method representation</x:v>
      </x:c>
      <x:c r="E122" s="22" t="str">
        <x:v>Antigravity 2.0</x:v>
      </x:c>
      <x:c r="F122" s="22" t="str">
        <x:v>Skills, MCP and custom research/audit agents extend the platform.</x:v>
      </x:c>
      <x:c r="G122" s="22" t="str">
        <x:v>Published coverage; analyst judgment</x:v>
      </x:c>
      <x:c r="H122" s="22" t="str">
        <x:v>G1, G3</x:v>
      </x:c>
      <x:c r="I122" s="50" t="str">
        <x:f>INDEX('Sources'!$D$6:$D$66,MATCH("G1",'Sources'!$A$6:$A$66,0))&amp;CHAR(10)&amp;INDEX('Sources'!$D$6:$D$66,MATCH("G3",'Sources'!$A$6:$A$66,0))</x:f>
        <x:v>https://antigravity.google/docs/cli/best-practices/
https://antigravity.google/docs/subagents/</x:v>
      </x:c>
    </x:row>
    <x:row r="123" ht="46.5" customHeight="1">
      <x:c r="A123" s="22" t="str">
        <x:v>F28</x:v>
      </x:c>
      <x:c r="B123" s="22" t="str">
        <x:v>GOOGLE</x:v>
      </x:c>
      <x:c r="C123" s="30" t="n">
        <x:f>INDEX('Matrix'!$C$6:$P$35,MATCH(A123,'Matrix'!$A$6:$A$35,0),MATCH(B123,'Matrix'!$C$4:$P$4,0))</x:f>
        <x:v>3</x:v>
      </x:c>
      <x:c r="D123" s="22" t="str">
        <x:v>Onboarding and reader guidance</x:v>
      </x:c>
      <x:c r="E123" s="22" t="str">
        <x:v>Antigravity 2.0</x:v>
      </x:c>
      <x:c r="F123" s="22" t="str">
        <x:v>Skills, MCP and custom research/audit agents extend the platform.</x:v>
      </x:c>
      <x:c r="G123" s="22" t="str">
        <x:v>Published coverage; analyst judgment</x:v>
      </x:c>
      <x:c r="H123" s="22" t="str">
        <x:v>G1, G3</x:v>
      </x:c>
      <x:c r="I123" s="50" t="str">
        <x:f>INDEX('Sources'!$D$6:$D$66,MATCH("G1",'Sources'!$A$6:$A$66,0))&amp;CHAR(10)&amp;INDEX('Sources'!$D$6:$D$66,MATCH("G3",'Sources'!$A$6:$A$66,0))</x:f>
        <x:v>https://antigravity.google/docs/cli/best-practices/
https://antigravity.google/docs/subagents/</x:v>
      </x:c>
    </x:row>
    <x:row r="124" ht="46.5" customHeight="1">
      <x:c r="A124" s="22" t="str">
        <x:v>F29</x:v>
      </x:c>
      <x:c r="B124" s="22" t="str">
        <x:v>GOOGLE</x:v>
      </x:c>
      <x:c r="C124" s="30" t="str">
        <x:f>INDEX('Matrix'!$C$6:$P$35,MATCH(A124,'Matrix'!$A$6:$A$35,0),MATCH(B124,'Matrix'!$C$4:$P$4,0))</x:f>
        <x:v>U</x:v>
      </x:c>
      <x:c r="D124" s="22" t="str">
        <x:v>Evidence of effectiveness</x:v>
      </x:c>
      <x:c r="E124" s="22" t="str">
        <x:v>Antigravity 2.0</x:v>
      </x:c>
      <x:c r="F124" s="22" t="str">
        <x:v>Inspected sources do not establish whole-workflow effectiveness.</x:v>
      </x:c>
      <x:c r="G124" s="22" t="str">
        <x:v>Published coverage; analyst judgment</x:v>
      </x:c>
      <x:c r="H124" s="22" t="str">
        <x:v>G1, G3</x:v>
      </x:c>
      <x:c r="I124" s="50" t="str">
        <x:f>INDEX('Sources'!$D$6:$D$66,MATCH("G1",'Sources'!$A$6:$A$66,0))&amp;CHAR(10)&amp;INDEX('Sources'!$D$6:$D$66,MATCH("G3",'Sources'!$A$6:$A$66,0))</x:f>
        <x:v>https://antigravity.google/docs/cli/best-practices/
https://antigravity.google/docs/subagents/</x:v>
      </x:c>
    </x:row>
    <x:row r="125" ht="46.5" customHeight="1">
      <x:c r="A125" s="22" t="str">
        <x:v>F30</x:v>
      </x:c>
      <x:c r="B125" s="22" t="str">
        <x:v>GOOGLE</x:v>
      </x:c>
      <x:c r="C125" s="30" t="n">
        <x:f>INDEX('Matrix'!$C$6:$P$35,MATCH(A125,'Matrix'!$A$6:$A$35,0),MATCH(B125,'Matrix'!$C$4:$P$4,0))</x:f>
        <x:v>1</x:v>
      </x:c>
      <x:c r="D125" s="22" t="str">
        <x:v>Work and resource measurement</x:v>
      </x:c>
      <x:c r="E125" s="22" t="str">
        <x:v>Antigravity 2.0</x:v>
      </x:c>
      <x:c r="F125" s="22" t="str">
        <x:v>Nesting limits and task progress provide basic control; quantitative method resource measurements are not established.</x:v>
      </x:c>
      <x:c r="G125" s="22" t="str">
        <x:v>Published coverage; analyst judgment</x:v>
      </x:c>
      <x:c r="H125" s="22" t="str">
        <x:v>G3</x:v>
      </x:c>
      <x:c r="I125" s="50" t="str">
        <x:f>INDEX('Sources'!$D$6:$D$66,MATCH("G3",'Sources'!$A$6:$A$66,0))</x:f>
        <x:v>https://antigravity.google/docs/subagents/</x:v>
      </x:c>
    </x:row>
    <x:row r="126" ht="46.5" customHeight="1">
      <x:c r="A126" s="22" t="str">
        <x:v>F01</x:v>
      </x:c>
      <x:c r="B126" s="22" t="str">
        <x:v>SPECKIT</x:v>
      </x:c>
      <x:c r="C126" s="30" t="n">
        <x:f>INDEX('Matrix'!$C$6:$P$35,MATCH(A126,'Matrix'!$A$6:$A$35,0),MATCH(B126,'Matrix'!$C$4:$P$4,0))</x:f>
        <x:v>3</x:v>
      </x:c>
      <x:c r="D126" s="22" t="str">
        <x:v>Intent and success criteria</x:v>
      </x:c>
      <x:c r="E126" s="22" t="str">
        <x:v>GitHub Spec Kit</x:v>
      </x:c>
      <x:c r="F126" s="22" t="str">
        <x:v>Constitution and specification guide design, dependency-ordered tasks and convergence.</x:v>
      </x:c>
      <x:c r="G126" s="22" t="str">
        <x:v>Published coverage; analyst judgment</x:v>
      </x:c>
      <x:c r="H126" s="22" t="str">
        <x:v>K1, K3</x:v>
      </x:c>
      <x:c r="I126" s="50" t="str">
        <x:f>INDEX('Sources'!$D$6:$D$66,MATCH("K1",'Sources'!$A$6:$A$66,0))&amp;CHAR(10)&amp;INDEX('Sources'!$D$6:$D$66,MATCH("K3",'Sources'!$A$6:$A$66,0))</x:f>
        <x:v>https://github.github.com/spec-kit/quickstart.html
https://github.github.com/spec-kit/guides/agentic-sdlc.html</x:v>
      </x:c>
    </x:row>
    <x:row r="127" ht="46.5" customHeight="1">
      <x:c r="A127" s="22" t="str">
        <x:v>F02</x:v>
      </x:c>
      <x:c r="B127" s="22" t="str">
        <x:v>SPECKIT</x:v>
      </x:c>
      <x:c r="C127" s="30" t="n">
        <x:f>INDEX('Matrix'!$C$6:$P$35,MATCH(A127,'Matrix'!$A$6:$A$35,0),MATCH(B127,'Matrix'!$C$4:$P$4,0))</x:f>
        <x:v>2</x:v>
      </x:c>
      <x:c r="D127" s="22" t="str">
        <x:v>Product definition and scope</x:v>
      </x:c>
      <x:c r="E127" s="22" t="str">
        <x:v>GitHub Spec Kit</x:v>
      </x:c>
      <x:c r="F127" s="22" t="str">
        <x:v>Constitution and specification guide design, dependency-ordered tasks and convergence.</x:v>
      </x:c>
      <x:c r="G127" s="22" t="str">
        <x:v>Published coverage; analyst judgment</x:v>
      </x:c>
      <x:c r="H127" s="22" t="str">
        <x:v>K1, K3</x:v>
      </x:c>
      <x:c r="I127" s="50" t="str">
        <x:f>INDEX('Sources'!$D$6:$D$66,MATCH("K1",'Sources'!$A$6:$A$66,0))&amp;CHAR(10)&amp;INDEX('Sources'!$D$6:$D$66,MATCH("K3",'Sources'!$A$6:$A$66,0))</x:f>
        <x:v>https://github.github.com/spec-kit/quickstart.html
https://github.github.com/spec-kit/guides/agentic-sdlc.html</x:v>
      </x:c>
    </x:row>
    <x:row r="128" ht="46.5" customHeight="1">
      <x:c r="A128" s="22" t="str">
        <x:v>F03</x:v>
      </x:c>
      <x:c r="B128" s="22" t="str">
        <x:v>SPECKIT</x:v>
      </x:c>
      <x:c r="C128" s="30" t="n">
        <x:f>INDEX('Matrix'!$C$6:$P$35,MATCH(A128,'Matrix'!$A$6:$A$35,0),MATCH(B128,'Matrix'!$C$4:$P$4,0))</x:f>
        <x:v>3</x:v>
      </x:c>
      <x:c r="D128" s="22" t="str">
        <x:v>Requirements before construction</x:v>
      </x:c>
      <x:c r="E128" s="22" t="str">
        <x:v>GitHub Spec Kit</x:v>
      </x:c>
      <x:c r="F128" s="22" t="str">
        <x:v>Constitution and specification guide design, dependency-ordered tasks and convergence.</x:v>
      </x:c>
      <x:c r="G128" s="22" t="str">
        <x:v>Published coverage; analyst judgment</x:v>
      </x:c>
      <x:c r="H128" s="22" t="str">
        <x:v>K1, K3</x:v>
      </x:c>
      <x:c r="I128" s="50" t="str">
        <x:f>INDEX('Sources'!$D$6:$D$66,MATCH("K1",'Sources'!$A$6:$A$66,0))&amp;CHAR(10)&amp;INDEX('Sources'!$D$6:$D$66,MATCH("K3",'Sources'!$A$6:$A$66,0))</x:f>
        <x:v>https://github.github.com/spec-kit/quickstart.html
https://github.github.com/spec-kit/guides/agentic-sdlc.html</x:v>
      </x:c>
    </x:row>
    <x:row r="129" ht="46.5" customHeight="1">
      <x:c r="A129" s="22" t="str">
        <x:v>F04</x:v>
      </x:c>
      <x:c r="B129" s="22" t="str">
        <x:v>SPECKIT</x:v>
      </x:c>
      <x:c r="C129" s="30" t="n">
        <x:f>INDEX('Matrix'!$C$6:$P$35,MATCH(A129,'Matrix'!$A$6:$A$35,0),MATCH(B129,'Matrix'!$C$4:$P$4,0))</x:f>
        <x:v>3</x:v>
      </x:c>
      <x:c r="D129" s="22" t="str">
        <x:v>Design separated from requirements</x:v>
      </x:c>
      <x:c r="E129" s="22" t="str">
        <x:v>GitHub Spec Kit</x:v>
      </x:c>
      <x:c r="F129" s="22" t="str">
        <x:v>Constitution and specification guide design, dependency-ordered tasks and convergence.</x:v>
      </x:c>
      <x:c r="G129" s="22" t="str">
        <x:v>Published coverage; analyst judgment</x:v>
      </x:c>
      <x:c r="H129" s="22" t="str">
        <x:v>K1, K3</x:v>
      </x:c>
      <x:c r="I129" s="50" t="str">
        <x:f>INDEX('Sources'!$D$6:$D$66,MATCH("K1",'Sources'!$A$6:$A$66,0))&amp;CHAR(10)&amp;INDEX('Sources'!$D$6:$D$66,MATCH("K3",'Sources'!$A$6:$A$66,0))</x:f>
        <x:v>https://github.github.com/spec-kit/quickstart.html
https://github.github.com/spec-kit/guides/agentic-sdlc.html</x:v>
      </x:c>
    </x:row>
    <x:row r="130" ht="46.5" customHeight="1">
      <x:c r="A130" s="22" t="str">
        <x:v>F05</x:v>
      </x:c>
      <x:c r="B130" s="22" t="str">
        <x:v>SPECKIT</x:v>
      </x:c>
      <x:c r="C130" s="30" t="n">
        <x:f>INDEX('Matrix'!$C$6:$P$35,MATCH(A130,'Matrix'!$A$6:$A$35,0),MATCH(B130,'Matrix'!$C$4:$P$4,0))</x:f>
        <x:v>3</x:v>
      </x:c>
      <x:c r="D130" s="22" t="str">
        <x:v>Traceability across stages</x:v>
      </x:c>
      <x:c r="E130" s="22" t="str">
        <x:v>GitHub Spec Kit</x:v>
      </x:c>
      <x:c r="F130" s="22" t="str">
        <x:v>Constitution and specification guide design, dependency-ordered tasks and convergence.</x:v>
      </x:c>
      <x:c r="G130" s="22" t="str">
        <x:v>Published coverage; analyst judgment</x:v>
      </x:c>
      <x:c r="H130" s="22" t="str">
        <x:v>K1, K3</x:v>
      </x:c>
      <x:c r="I130" s="50" t="str">
        <x:f>INDEX('Sources'!$D$6:$D$66,MATCH("K1",'Sources'!$A$6:$A$66,0))&amp;CHAR(10)&amp;INDEX('Sources'!$D$6:$D$66,MATCH("K3",'Sources'!$A$6:$A$66,0))</x:f>
        <x:v>https://github.github.com/spec-kit/quickstart.html
https://github.github.com/spec-kit/guides/agentic-sdlc.html</x:v>
      </x:c>
    </x:row>
    <x:row r="131" ht="46.5" customHeight="1">
      <x:c r="A131" s="22" t="str">
        <x:v>F06</x:v>
      </x:c>
      <x:c r="B131" s="22" t="str">
        <x:v>SPECKIT</x:v>
      </x:c>
      <x:c r="C131" s="30" t="n">
        <x:f>INDEX('Matrix'!$C$6:$P$35,MATCH(A131,'Matrix'!$A$6:$A$35,0),MATCH(B131,'Matrix'!$C$4:$P$4,0))</x:f>
        <x:v>1</x:v>
      </x:c>
      <x:c r="D131" s="22" t="str">
        <x:v>Domain concepts and identity</x:v>
      </x:c>
      <x:c r="E131" s="22" t="str">
        <x:v>GitHub Spec Kit</x:v>
      </x:c>
      <x:c r="F131" s="22" t="str">
        <x:v>Artifact ownership and project principles supply basic contextual structure; full domain-meaning ownership is not established.</x:v>
      </x:c>
      <x:c r="G131" s="22" t="str">
        <x:v>Published coverage; analyst judgment</x:v>
      </x:c>
      <x:c r="H131" s="22" t="str">
        <x:v>K1</x:v>
      </x:c>
      <x:c r="I131" s="50" t="str">
        <x:f>INDEX('Sources'!$D$6:$D$66,MATCH("K1",'Sources'!$A$6:$A$66,0))</x:f>
        <x:v>https://github.github.com/spec-kit/quickstart.html</x:v>
      </x:c>
    </x:row>
    <x:row r="132" ht="46.5" customHeight="1">
      <x:c r="A132" s="22" t="str">
        <x:v>F07</x:v>
      </x:c>
      <x:c r="B132" s="22" t="str">
        <x:v>SPECKIT</x:v>
      </x:c>
      <x:c r="C132" s="30" t="n">
        <x:f>INDEX('Matrix'!$C$6:$P$35,MATCH(A132,'Matrix'!$A$6:$A$35,0),MATCH(B132,'Matrix'!$C$4:$P$4,0))</x:f>
        <x:v>2</x:v>
      </x:c>
      <x:c r="D132" s="22" t="str">
        <x:v>Explicit inputs, outputs and contracts</x:v>
      </x:c>
      <x:c r="E132" s="22" t="str">
        <x:v>GitHub Spec Kit</x:v>
      </x:c>
      <x:c r="F132" s="22" t="str">
        <x:v>Typed workflow inputs and validated overlays; semantic algebraic proof is not established.</x:v>
      </x:c>
      <x:c r="G132" s="22" t="str">
        <x:v>Published coverage; analyst judgment</x:v>
      </x:c>
      <x:c r="H132" s="22" t="str">
        <x:v>K1, K2</x:v>
      </x:c>
      <x:c r="I132" s="50" t="str">
        <x:f>INDEX('Sources'!$D$6:$D$66,MATCH("K1",'Sources'!$A$6:$A$66,0))&amp;CHAR(10)&amp;INDEX('Sources'!$D$6:$D$66,MATCH("K2",'Sources'!$A$6:$A$66,0))</x:f>
        <x:v>https://github.github.com/spec-kit/quickstart.html
https://github.github.com/spec-kit/reference/workflows.html</x:v>
      </x:c>
    </x:row>
    <x:row r="133" ht="46.5" customHeight="1">
      <x:c r="A133" s="22" t="str">
        <x:v>F08</x:v>
      </x:c>
      <x:c r="B133" s="22" t="str">
        <x:v>SPECKIT</x:v>
      </x:c>
      <x:c r="C133" s="30" t="n">
        <x:f>INDEX('Matrix'!$C$6:$P$35,MATCH(A133,'Matrix'!$A$6:$A$35,0),MATCH(B133,'Matrix'!$C$4:$P$4,0))</x:f>
        <x:v>3</x:v>
      </x:c>
      <x:c r="D133" s="22" t="str">
        <x:v>Invariants and semantic constraints</x:v>
      </x:c>
      <x:c r="E133" s="22" t="str">
        <x:v>GitHub Spec Kit</x:v>
      </x:c>
      <x:c r="F133" s="22" t="str">
        <x:v>Typed workflow inputs and validated overlays; semantic algebraic proof is not established.</x:v>
      </x:c>
      <x:c r="G133" s="22" t="str">
        <x:v>Published coverage; analyst judgment</x:v>
      </x:c>
      <x:c r="H133" s="22" t="str">
        <x:v>K1, K2</x:v>
      </x:c>
      <x:c r="I133" s="50" t="str">
        <x:f>INDEX('Sources'!$D$6:$D$66,MATCH("K1",'Sources'!$A$6:$A$66,0))&amp;CHAR(10)&amp;INDEX('Sources'!$D$6:$D$66,MATCH("K2",'Sources'!$A$6:$A$66,0))</x:f>
        <x:v>https://github.github.com/spec-kit/quickstart.html
https://github.github.com/spec-kit/reference/workflows.html</x:v>
      </x:c>
    </x:row>
    <x:row r="134" ht="46.5" customHeight="1">
      <x:c r="A134" s="22" t="str">
        <x:v>F09</x:v>
      </x:c>
      <x:c r="B134" s="22" t="str">
        <x:v>SPECKIT</x:v>
      </x:c>
      <x:c r="C134" s="30" t="n">
        <x:f>INDEX('Matrix'!$C$6:$P$35,MATCH(A134,'Matrix'!$A$6:$A$35,0),MATCH(B134,'Matrix'!$C$4:$P$4,0))</x:f>
        <x:v>2</x:v>
      </x:c>
      <x:c r="D134" s="22" t="str">
        <x:v>Composition and formal reasoning</x:v>
      </x:c>
      <x:c r="E134" s="22" t="str">
        <x:v>GitHub Spec Kit</x:v>
      </x:c>
      <x:c r="F134" s="22" t="str">
        <x:v>Typed workflow inputs and validated overlays; semantic algebraic proof is not established.</x:v>
      </x:c>
      <x:c r="G134" s="22" t="str">
        <x:v>Published coverage; analyst judgment</x:v>
      </x:c>
      <x:c r="H134" s="22" t="str">
        <x:v>K1, K2</x:v>
      </x:c>
      <x:c r="I134" s="50" t="str">
        <x:f>INDEX('Sources'!$D$6:$D$66,MATCH("K1",'Sources'!$A$6:$A$66,0))&amp;CHAR(10)&amp;INDEX('Sources'!$D$6:$D$66,MATCH("K2",'Sources'!$A$6:$A$66,0))</x:f>
        <x:v>https://github.github.com/spec-kit/quickstart.html
https://github.github.com/spec-kit/reference/workflows.html</x:v>
      </x:c>
    </x:row>
    <x:row r="135" ht="54" customHeight="1">
      <x:c r="A135" s="22" t="str">
        <x:v>F10</x:v>
      </x:c>
      <x:c r="B135" s="22" t="str">
        <x:v>SPECKIT</x:v>
      </x:c>
      <x:c r="C135" s="30" t="n">
        <x:f>INDEX('Matrix'!$C$6:$P$35,MATCH(A135,'Matrix'!$A$6:$A$35,0),MATCH(B135,'Matrix'!$C$4:$P$4,0))</x:f>
        <x:v>3</x:v>
      </x:c>
      <x:c r="D135" s="22" t="str">
        <x:v>Relevant context selection</x:v>
      </x:c>
      <x:c r="E135" s="22" t="str">
        <x:v>GitHub Spec Kit</x:v>
      </x:c>
      <x:c r="F135" s="22" t="str">
        <x:v>Persisted feature/workflow state, phase scopes, branching and resumable steps.</x:v>
      </x:c>
      <x:c r="G135" s="22" t="str">
        <x:v>Published coverage; analyst judgment</x:v>
      </x:c>
      <x:c r="H135" s="22" t="str">
        <x:v>K1, K2, K4</x:v>
      </x:c>
      <x:c r="I135" s="50" t="str">
        <x:f>INDEX('Sources'!$D$6:$D$66,MATCH("K1",'Sources'!$A$6:$A$66,0))&amp;CHAR(10)&amp;INDEX('Sources'!$D$6:$D$66,MATCH("K2",'Sources'!$A$6:$A$66,0))&amp;CHAR(10)&amp;INDEX('Sources'!$D$6:$D$66,MATCH("K4",'Sources'!$A$6:$A$66,0))</x:f>
        <x:v>https://github.github.com/spec-kit/quickstart.html
https://github.github.com/spec-kit/reference/workflows.html
https://github.github.com/spec-kit/</x:v>
      </x:c>
    </x:row>
    <x:row r="136" ht="54" customHeight="1">
      <x:c r="A136" s="22" t="str">
        <x:v>F11</x:v>
      </x:c>
      <x:c r="B136" s="22" t="str">
        <x:v>SPECKIT</x:v>
      </x:c>
      <x:c r="C136" s="30" t="n">
        <x:f>INDEX('Matrix'!$C$6:$P$35,MATCH(A136,'Matrix'!$A$6:$A$35,0),MATCH(B136,'Matrix'!$C$4:$P$4,0))</x:f>
        <x:v>2</x:v>
      </x:c>
      <x:c r="D136" s="22" t="str">
        <x:v>Attention fit and proportionality</x:v>
      </x:c>
      <x:c r="E136" s="22" t="str">
        <x:v>GitHub Spec Kit</x:v>
      </x:c>
      <x:c r="F136" s="22" t="str">
        <x:v>Persisted feature/workflow state, phase scopes, branching and resumable steps.</x:v>
      </x:c>
      <x:c r="G136" s="22" t="str">
        <x:v>Published coverage; analyst judgment</x:v>
      </x:c>
      <x:c r="H136" s="22" t="str">
        <x:v>K1, K2, K4</x:v>
      </x:c>
      <x:c r="I136" s="50" t="str">
        <x:f>INDEX('Sources'!$D$6:$D$66,MATCH("K1",'Sources'!$A$6:$A$66,0))&amp;CHAR(10)&amp;INDEX('Sources'!$D$6:$D$66,MATCH("K2",'Sources'!$A$6:$A$66,0))&amp;CHAR(10)&amp;INDEX('Sources'!$D$6:$D$66,MATCH("K4",'Sources'!$A$6:$A$66,0))</x:f>
        <x:v>https://github.github.com/spec-kit/quickstart.html
https://github.github.com/spec-kit/reference/workflows.html
https://github.github.com/spec-kit/</x:v>
      </x:c>
    </x:row>
    <x:row r="137" ht="54" customHeight="1">
      <x:c r="A137" s="22" t="str">
        <x:v>F12</x:v>
      </x:c>
      <x:c r="B137" s="22" t="str">
        <x:v>SPECKIT</x:v>
      </x:c>
      <x:c r="C137" s="30" t="n">
        <x:f>INDEX('Matrix'!$C$6:$P$35,MATCH(A137,'Matrix'!$A$6:$A$35,0),MATCH(B137,'Matrix'!$C$4:$P$4,0))</x:f>
        <x:v>3</x:v>
      </x:c>
      <x:c r="D137" s="22" t="str">
        <x:v>Bounded probabilistic construction</x:v>
      </x:c>
      <x:c r="E137" s="22" t="str">
        <x:v>GitHub Spec Kit</x:v>
      </x:c>
      <x:c r="F137" s="22" t="str">
        <x:v>Persisted feature/workflow state, phase scopes, branching and resumable steps.</x:v>
      </x:c>
      <x:c r="G137" s="22" t="str">
        <x:v>Published coverage; analyst judgment</x:v>
      </x:c>
      <x:c r="H137" s="22" t="str">
        <x:v>K1, K2, K4</x:v>
      </x:c>
      <x:c r="I137" s="50" t="str">
        <x:f>INDEX('Sources'!$D$6:$D$66,MATCH("K1",'Sources'!$A$6:$A$66,0))&amp;CHAR(10)&amp;INDEX('Sources'!$D$6:$D$66,MATCH("K2",'Sources'!$A$6:$A$66,0))&amp;CHAR(10)&amp;INDEX('Sources'!$D$6:$D$66,MATCH("K4",'Sources'!$A$6:$A$66,0))</x:f>
        <x:v>https://github.github.com/spec-kit/quickstart.html
https://github.github.com/spec-kit/reference/workflows.html
https://github.github.com/spec-kit/</x:v>
      </x:c>
    </x:row>
    <x:row r="138" ht="54" customHeight="1">
      <x:c r="A138" s="22" t="str">
        <x:v>F13</x:v>
      </x:c>
      <x:c r="B138" s="22" t="str">
        <x:v>SPECKIT</x:v>
      </x:c>
      <x:c r="C138" s="30" t="n">
        <x:f>INDEX('Matrix'!$C$6:$P$35,MATCH(A138,'Matrix'!$A$6:$A$35,0),MATCH(B138,'Matrix'!$C$4:$P$4,0))</x:f>
        <x:v>3</x:v>
      </x:c>
      <x:c r="D138" s="22" t="str">
        <x:v>Decomposition and recursive workflows</x:v>
      </x:c>
      <x:c r="E138" s="22" t="str">
        <x:v>GitHub Spec Kit</x:v>
      </x:c>
      <x:c r="F138" s="22" t="str">
        <x:v>Persisted feature/workflow state, phase scopes, branching and resumable steps.</x:v>
      </x:c>
      <x:c r="G138" s="22" t="str">
        <x:v>Published coverage; analyst judgment</x:v>
      </x:c>
      <x:c r="H138" s="22" t="str">
        <x:v>K1, K2, K4</x:v>
      </x:c>
      <x:c r="I138" s="50" t="str">
        <x:f>INDEX('Sources'!$D$6:$D$66,MATCH("K1",'Sources'!$A$6:$A$66,0))&amp;CHAR(10)&amp;INDEX('Sources'!$D$6:$D$66,MATCH("K2",'Sources'!$A$6:$A$66,0))&amp;CHAR(10)&amp;INDEX('Sources'!$D$6:$D$66,MATCH("K4",'Sources'!$A$6:$A$66,0))</x:f>
        <x:v>https://github.github.com/spec-kit/quickstart.html
https://github.github.com/spec-kit/reference/workflows.html
https://github.github.com/spec-kit/</x:v>
      </x:c>
    </x:row>
    <x:row r="139" ht="54" customHeight="1">
      <x:c r="A139" s="22" t="str">
        <x:v>F14</x:v>
      </x:c>
      <x:c r="B139" s="22" t="str">
        <x:v>SPECKIT</x:v>
      </x:c>
      <x:c r="C139" s="30" t="n">
        <x:f>INDEX('Matrix'!$C$6:$P$35,MATCH(A139,'Matrix'!$A$6:$A$35,0),MATCH(B139,'Matrix'!$C$4:$P$4,0))</x:f>
        <x:v>3</x:v>
      </x:c>
      <x:c r="D139" s="22" t="str">
        <x:v>Durable state and resumption</x:v>
      </x:c>
      <x:c r="E139" s="22" t="str">
        <x:v>GitHub Spec Kit</x:v>
      </x:c>
      <x:c r="F139" s="22" t="str">
        <x:v>Persisted feature/workflow state, phase scopes, branching and resumable steps.</x:v>
      </x:c>
      <x:c r="G139" s="22" t="str">
        <x:v>Published coverage; analyst judgment</x:v>
      </x:c>
      <x:c r="H139" s="22" t="str">
        <x:v>K1, K2, K4</x:v>
      </x:c>
      <x:c r="I139" s="50" t="str">
        <x:f>INDEX('Sources'!$D$6:$D$66,MATCH("K1",'Sources'!$A$6:$A$66,0))&amp;CHAR(10)&amp;INDEX('Sources'!$D$6:$D$66,MATCH("K2",'Sources'!$A$6:$A$66,0))&amp;CHAR(10)&amp;INDEX('Sources'!$D$6:$D$66,MATCH("K4",'Sources'!$A$6:$A$66,0))</x:f>
        <x:v>https://github.github.com/spec-kit/quickstart.html
https://github.github.com/spec-kit/reference/workflows.html
https://github.github.com/spec-kit/</x:v>
      </x:c>
    </x:row>
    <x:row r="140" ht="54" customHeight="1">
      <x:c r="A140" s="22" t="str">
        <x:v>F15</x:v>
      </x:c>
      <x:c r="B140" s="22" t="str">
        <x:v>SPECKIT</x:v>
      </x:c>
      <x:c r="C140" s="30" t="n">
        <x:f>INDEX('Matrix'!$C$6:$P$35,MATCH(A140,'Matrix'!$A$6:$A$35,0),MATCH(B140,'Matrix'!$C$4:$P$4,0))</x:f>
        <x:v>3</x:v>
      </x:c>
      <x:c r="D140" s="22" t="str">
        <x:v>Observation and next-action feedback</x:v>
      </x:c>
      <x:c r="E140" s="22" t="str">
        <x:v>GitHub Spec Kit</x:v>
      </x:c>
      <x:c r="F140" s="22" t="str">
        <x:v>Persisted feature/workflow state, phase scopes, branching and resumable steps.</x:v>
      </x:c>
      <x:c r="G140" s="22" t="str">
        <x:v>Published coverage; analyst judgment</x:v>
      </x:c>
      <x:c r="H140" s="22" t="str">
        <x:v>K1, K2, K4</x:v>
      </x:c>
      <x:c r="I140" s="50" t="str">
        <x:f>INDEX('Sources'!$D$6:$D$66,MATCH("K1",'Sources'!$A$6:$A$66,0))&amp;CHAR(10)&amp;INDEX('Sources'!$D$6:$D$66,MATCH("K2",'Sources'!$A$6:$A$66,0))&amp;CHAR(10)&amp;INDEX('Sources'!$D$6:$D$66,MATCH("K4",'Sources'!$A$6:$A$66,0))</x:f>
        <x:v>https://github.github.com/spec-kit/quickstart.html
https://github.github.com/spec-kit/reference/workflows.html
https://github.github.com/spec-kit/</x:v>
      </x:c>
    </x:row>
    <x:row r="141" ht="54" customHeight="1">
      <x:c r="A141" s="22" t="str">
        <x:v>F16</x:v>
      </x:c>
      <x:c r="B141" s="22" t="str">
        <x:v>SPECKIT</x:v>
      </x:c>
      <x:c r="C141" s="30" t="n">
        <x:f>INDEX('Matrix'!$C$6:$P$35,MATCH(A141,'Matrix'!$A$6:$A$35,0),MATCH(B141,'Matrix'!$C$4:$P$4,0))</x:f>
        <x:v>3</x:v>
      </x:c>
      <x:c r="D141" s="22" t="str">
        <x:v>Uncertainty, stops and re-entry</x:v>
      </x:c>
      <x:c r="E141" s="22" t="str">
        <x:v>GitHub Spec Kit</x:v>
      </x:c>
      <x:c r="F141" s="22" t="str">
        <x:v>Persisted feature/workflow state, phase scopes, branching and resumable steps.</x:v>
      </x:c>
      <x:c r="G141" s="22" t="str">
        <x:v>Published coverage; analyst judgment</x:v>
      </x:c>
      <x:c r="H141" s="22" t="str">
        <x:v>K1, K2, K4</x:v>
      </x:c>
      <x:c r="I141" s="50" t="str">
        <x:f>INDEX('Sources'!$D$6:$D$66,MATCH("K1",'Sources'!$A$6:$A$66,0))&amp;CHAR(10)&amp;INDEX('Sources'!$D$6:$D$66,MATCH("K2",'Sources'!$A$6:$A$66,0))&amp;CHAR(10)&amp;INDEX('Sources'!$D$6:$D$66,MATCH("K4",'Sources'!$A$6:$A$66,0))</x:f>
        <x:v>https://github.github.com/spec-kit/quickstart.html
https://github.github.com/spec-kit/reference/workflows.html
https://github.github.com/spec-kit/</x:v>
      </x:c>
    </x:row>
    <x:row r="142" ht="54" customHeight="1">
      <x:c r="A142" s="22" t="str">
        <x:v>F17</x:v>
      </x:c>
      <x:c r="B142" s="22" t="str">
        <x:v>SPECKIT</x:v>
      </x:c>
      <x:c r="C142" s="30" t="n">
        <x:f>INDEX('Matrix'!$C$6:$P$35,MATCH(A142,'Matrix'!$A$6:$A$35,0),MATCH(B142,'Matrix'!$C$4:$P$4,0))</x:f>
        <x:v>2</x:v>
      </x:c>
      <x:c r="D142" s="22" t="str">
        <x:v>Permissions and effect boundaries</x:v>
      </x:c>
      <x:c r="E142" s="22" t="str">
        <x:v>GitHub Spec Kit</x:v>
      </x:c>
      <x:c r="F142" s="22" t="str">
        <x:v>Human gates are configurable; workflow shell steps lack a capability sandbox.</x:v>
      </x:c>
      <x:c r="G142" s="22" t="str">
        <x:v>Published coverage; analyst judgment</x:v>
      </x:c>
      <x:c r="H142" s="22" t="str">
        <x:v>K1, K2, K3</x:v>
      </x:c>
      <x:c r="I142" s="50" t="str">
        <x:f>INDEX('Sources'!$D$6:$D$66,MATCH("K1",'Sources'!$A$6:$A$66,0))&amp;CHAR(10)&amp;INDEX('Sources'!$D$6:$D$66,MATCH("K2",'Sources'!$A$6:$A$66,0))&amp;CHAR(10)&amp;INDEX('Sources'!$D$6:$D$66,MATCH("K3",'Sources'!$A$6:$A$66,0))</x:f>
        <x:v>https://github.github.com/spec-kit/quickstart.html
https://github.github.com/spec-kit/reference/workflows.html
https://github.github.com/spec-kit/guides/agentic-sdlc.html</x:v>
      </x:c>
    </x:row>
    <x:row r="143" ht="54" customHeight="1">
      <x:c r="A143" s="22" t="str">
        <x:v>F18</x:v>
      </x:c>
      <x:c r="B143" s="22" t="str">
        <x:v>SPECKIT</x:v>
      </x:c>
      <x:c r="C143" s="30" t="n">
        <x:f>INDEX('Matrix'!$C$6:$P$35,MATCH(A143,'Matrix'!$A$6:$A$35,0),MATCH(B143,'Matrix'!$C$4:$P$4,0))</x:f>
        <x:v>3</x:v>
      </x:c>
      <x:c r="D143" s="22" t="str">
        <x:v>Independent assessment</x:v>
      </x:c>
      <x:c r="E143" s="22" t="str">
        <x:v>GitHub Spec Kit</x:v>
      </x:c>
      <x:c r="F143" s="22" t="str">
        <x:v>Reviewer-owned checklists, artifact analysis, CI and maintainer review.</x:v>
      </x:c>
      <x:c r="G143" s="22" t="str">
        <x:v>Published coverage; analyst judgment</x:v>
      </x:c>
      <x:c r="H143" s="22" t="str">
        <x:v>K1, K2, K3</x:v>
      </x:c>
      <x:c r="I143" s="50" t="str">
        <x:f>INDEX('Sources'!$D$6:$D$66,MATCH("K1",'Sources'!$A$6:$A$66,0))&amp;CHAR(10)&amp;INDEX('Sources'!$D$6:$D$66,MATCH("K2",'Sources'!$A$6:$A$66,0))&amp;CHAR(10)&amp;INDEX('Sources'!$D$6:$D$66,MATCH("K3",'Sources'!$A$6:$A$66,0))</x:f>
        <x:v>https://github.github.com/spec-kit/quickstart.html
https://github.github.com/spec-kit/reference/workflows.html
https://github.github.com/spec-kit/guides/agentic-sdlc.html</x:v>
      </x:c>
    </x:row>
    <x:row r="144" ht="54" customHeight="1">
      <x:c r="A144" s="22" t="str">
        <x:v>F19</x:v>
      </x:c>
      <x:c r="B144" s="22" t="str">
        <x:v>SPECKIT</x:v>
      </x:c>
      <x:c r="C144" s="30" t="n">
        <x:f>INDEX('Matrix'!$C$6:$P$35,MATCH(A144,'Matrix'!$A$6:$A$35,0),MATCH(B144,'Matrix'!$C$4:$P$4,0))</x:f>
        <x:v>3</x:v>
      </x:c>
      <x:c r="D144" s="22" t="str">
        <x:v>Operational and negative tests</x:v>
      </x:c>
      <x:c r="E144" s="22" t="str">
        <x:v>GitHub Spec Kit</x:v>
      </x:c>
      <x:c r="F144" s="22" t="str">
        <x:v>Reviewer-owned checklists, artifact analysis, CI and maintainer review.</x:v>
      </x:c>
      <x:c r="G144" s="22" t="str">
        <x:v>Published coverage; analyst judgment</x:v>
      </x:c>
      <x:c r="H144" s="22" t="str">
        <x:v>K1, K2, K3</x:v>
      </x:c>
      <x:c r="I144" s="50" t="str">
        <x:f>INDEX('Sources'!$D$6:$D$66,MATCH("K1",'Sources'!$A$6:$A$66,0))&amp;CHAR(10)&amp;INDEX('Sources'!$D$6:$D$66,MATCH("K2",'Sources'!$A$6:$A$66,0))&amp;CHAR(10)&amp;INDEX('Sources'!$D$6:$D$66,MATCH("K3",'Sources'!$A$6:$A$66,0))</x:f>
        <x:v>https://github.github.com/spec-kit/quickstart.html
https://github.github.com/spec-kit/reference/workflows.html
https://github.github.com/spec-kit/guides/agentic-sdlc.html</x:v>
      </x:c>
    </x:row>
    <x:row r="145" ht="54" customHeight="1">
      <x:c r="A145" s="22" t="str">
        <x:v>F20</x:v>
      </x:c>
      <x:c r="B145" s="22" t="str">
        <x:v>SPECKIT</x:v>
      </x:c>
      <x:c r="C145" s="30" t="n">
        <x:f>INDEX('Matrix'!$C$6:$P$35,MATCH(A145,'Matrix'!$A$6:$A$35,0),MATCH(B145,'Matrix'!$C$4:$P$4,0))</x:f>
        <x:v>2</x:v>
      </x:c>
      <x:c r="D145" s="22" t="str">
        <x:v>Claim and evidence separation</x:v>
      </x:c>
      <x:c r="E145" s="22" t="str">
        <x:v>GitHub Spec Kit</x:v>
      </x:c>
      <x:c r="F145" s="22" t="str">
        <x:v>Reviewer-owned checklists, artifact analysis, CI and maintainer review.</x:v>
      </x:c>
      <x:c r="G145" s="22" t="str">
        <x:v>Published coverage; analyst judgment</x:v>
      </x:c>
      <x:c r="H145" s="22" t="str">
        <x:v>K1, K2, K3</x:v>
      </x:c>
      <x:c r="I145" s="50" t="str">
        <x:f>INDEX('Sources'!$D$6:$D$66,MATCH("K1",'Sources'!$A$6:$A$66,0))&amp;CHAR(10)&amp;INDEX('Sources'!$D$6:$D$66,MATCH("K2",'Sources'!$A$6:$A$66,0))&amp;CHAR(10)&amp;INDEX('Sources'!$D$6:$D$66,MATCH("K3",'Sources'!$A$6:$A$66,0))</x:f>
        <x:v>https://github.github.com/spec-kit/quickstart.html
https://github.github.com/spec-kit/reference/workflows.html
https://github.github.com/spec-kit/guides/agentic-sdlc.html</x:v>
      </x:c>
    </x:row>
    <x:row r="146" ht="54" customHeight="1">
      <x:c r="A146" s="22" t="str">
        <x:v>F21</x:v>
      </x:c>
      <x:c r="B146" s="22" t="str">
        <x:v>SPECKIT</x:v>
      </x:c>
      <x:c r="C146" s="30" t="n">
        <x:f>INDEX('Matrix'!$C$6:$P$35,MATCH(A146,'Matrix'!$A$6:$A$35,0),MATCH(B146,'Matrix'!$C$4:$P$4,0))</x:f>
        <x:v>3</x:v>
      </x:c>
      <x:c r="D146" s="22" t="str">
        <x:v>Provenance and auditability</x:v>
      </x:c>
      <x:c r="E146" s="22" t="str">
        <x:v>GitHub Spec Kit</x:v>
      </x:c>
      <x:c r="F146" s="22" t="str">
        <x:v>Reviewer-owned checklists, artifact analysis, CI and maintainer review.</x:v>
      </x:c>
      <x:c r="G146" s="22" t="str">
        <x:v>Published coverage; analyst judgment</x:v>
      </x:c>
      <x:c r="H146" s="22" t="str">
        <x:v>K1, K2, K3</x:v>
      </x:c>
      <x:c r="I146" s="50" t="str">
        <x:f>INDEX('Sources'!$D$6:$D$66,MATCH("K1",'Sources'!$A$6:$A$66,0))&amp;CHAR(10)&amp;INDEX('Sources'!$D$6:$D$66,MATCH("K2",'Sources'!$A$6:$A$66,0))&amp;CHAR(10)&amp;INDEX('Sources'!$D$6:$D$66,MATCH("K3",'Sources'!$A$6:$A$66,0))</x:f>
        <x:v>https://github.github.com/spec-kit/quickstart.html
https://github.github.com/spec-kit/reference/workflows.html
https://github.github.com/spec-kit/guides/agentic-sdlc.html</x:v>
      </x:c>
    </x:row>
    <x:row r="147" ht="46.5" customHeight="1">
      <x:c r="A147" s="22" t="str">
        <x:v>F22</x:v>
      </x:c>
      <x:c r="B147" s="22" t="str">
        <x:v>SPECKIT</x:v>
      </x:c>
      <x:c r="C147" s="30" t="n">
        <x:f>INDEX('Matrix'!$C$6:$P$35,MATCH(A147,'Matrix'!$A$6:$A$35,0),MATCH(B147,'Matrix'!$C$4:$P$4,0))</x:f>
        <x:v>2</x:v>
      </x:c>
      <x:c r="D147" s="22" t="str">
        <x:v>Change impact and specification revision</x:v>
      </x:c>
      <x:c r="E147" s="22" t="str">
        <x:v>GitHub Spec Kit</x:v>
      </x:c>
      <x:c r="F147" s="22" t="str">
        <x:v>Convergence appends gap tasks and steps can resume; comprehensive changed-intent impact propagation is not established.</x:v>
      </x:c>
      <x:c r="G147" s="22" t="str">
        <x:v>Published coverage; analyst judgment</x:v>
      </x:c>
      <x:c r="H147" s="22" t="str">
        <x:v>K1, K2</x:v>
      </x:c>
      <x:c r="I147" s="50" t="str">
        <x:f>INDEX('Sources'!$D$6:$D$66,MATCH("K1",'Sources'!$A$6:$A$66,0))&amp;CHAR(10)&amp;INDEX('Sources'!$D$6:$D$66,MATCH("K2",'Sources'!$A$6:$A$66,0))</x:f>
        <x:v>https://github.github.com/spec-kit/quickstart.html
https://github.github.com/spec-kit/reference/workflows.html</x:v>
      </x:c>
    </x:row>
    <x:row r="148" ht="46.5" customHeight="1">
      <x:c r="A148" s="22" t="str">
        <x:v>F23</x:v>
      </x:c>
      <x:c r="B148" s="22" t="str">
        <x:v>SPECKIT</x:v>
      </x:c>
      <x:c r="C148" s="30" t="n">
        <x:f>INDEX('Matrix'!$C$6:$P$35,MATCH(A148,'Matrix'!$A$6:$A$35,0),MATCH(B148,'Matrix'!$C$4:$P$4,0))</x:f>
        <x:v>2</x:v>
      </x:c>
      <x:c r="D148" s="22" t="str">
        <x:v>Versioned release and adoption</x:v>
      </x:c>
      <x:c r="E148" s="22" t="str">
        <x:v>GitHub Spec Kit</x:v>
      </x:c>
      <x:c r="F148" s="22" t="str">
        <x:v>Versioned workflow packages and maintainer-controlled project releases provide scoped evidence; no general output-release qualification method.</x:v>
      </x:c>
      <x:c r="G148" s="22" t="str">
        <x:v>Published coverage; analyst judgment</x:v>
      </x:c>
      <x:c r="H148" s="22" t="str">
        <x:v>K2, K3</x:v>
      </x:c>
      <x:c r="I148" s="50" t="str">
        <x:f>INDEX('Sources'!$D$6:$D$66,MATCH("K2",'Sources'!$A$6:$A$66,0))&amp;CHAR(10)&amp;INDEX('Sources'!$D$6:$D$66,MATCH("K3",'Sources'!$A$6:$A$66,0))</x:f>
        <x:v>https://github.github.com/spec-kit/reference/workflows.html
https://github.github.com/spec-kit/guides/agentic-sdlc.html</x:v>
      </x:c>
    </x:row>
    <x:row r="149" ht="46.5" customHeight="1">
      <x:c r="A149" s="22" t="str">
        <x:v>F24</x:v>
      </x:c>
      <x:c r="B149" s="22" t="str">
        <x:v>SPECKIT</x:v>
      </x:c>
      <x:c r="C149" s="30" t="n">
        <x:f>INDEX('Matrix'!$C$6:$P$35,MATCH(A149,'Matrix'!$A$6:$A$35,0),MATCH(B149,'Matrix'!$C$4:$P$4,0))</x:f>
        <x:v>3</x:v>
      </x:c>
      <x:c r="D149" s="22" t="str">
        <x:v>Reuse and extensibility</x:v>
      </x:c>
      <x:c r="E149" s="22" t="str">
        <x:v>GitHub Spec Kit</x:v>
      </x:c>
      <x:c r="F149" s="22" t="str">
        <x:v>Custom processes and documented Spec Kit self-development extend the method.</x:v>
      </x:c>
      <x:c r="G149" s="22" t="str">
        <x:v>Published coverage; analyst judgment</x:v>
      </x:c>
      <x:c r="H149" s="22" t="str">
        <x:v>K3, K4</x:v>
      </x:c>
      <x:c r="I149" s="50" t="str">
        <x:f>INDEX('Sources'!$D$6:$D$66,MATCH("K3",'Sources'!$A$6:$A$66,0))&amp;CHAR(10)&amp;INDEX('Sources'!$D$6:$D$66,MATCH("K4",'Sources'!$A$6:$A$66,0))</x:f>
        <x:v>https://github.github.com/spec-kit/guides/agentic-sdlc.html
https://github.github.com/spec-kit/</x:v>
      </x:c>
    </x:row>
    <x:row r="150" ht="46.5" customHeight="1">
      <x:c r="A150" s="22" t="str">
        <x:v>F25</x:v>
      </x:c>
      <x:c r="B150" s="22" t="str">
        <x:v>SPECKIT</x:v>
      </x:c>
      <x:c r="C150" s="30" t="n">
        <x:f>INDEX('Matrix'!$C$6:$P$35,MATCH(A150,'Matrix'!$A$6:$A$35,0),MATCH(B150,'Matrix'!$C$4:$P$4,0))</x:f>
        <x:v>3</x:v>
      </x:c>
      <x:c r="D150" s="22" t="str">
        <x:v>Process use beyond software</x:v>
      </x:c>
      <x:c r="E150" s="22" t="str">
        <x:v>GitHub Spec Kit</x:v>
      </x:c>
      <x:c r="F150" s="22" t="str">
        <x:v>Custom processes and documented Spec Kit self-development extend the method.</x:v>
      </x:c>
      <x:c r="G150" s="22" t="str">
        <x:v>Published coverage; analyst judgment</x:v>
      </x:c>
      <x:c r="H150" s="22" t="str">
        <x:v>K3, K4</x:v>
      </x:c>
      <x:c r="I150" s="50" t="str">
        <x:f>INDEX('Sources'!$D$6:$D$66,MATCH("K3",'Sources'!$A$6:$A$66,0))&amp;CHAR(10)&amp;INDEX('Sources'!$D$6:$D$66,MATCH("K4",'Sources'!$A$6:$A$66,0))</x:f>
        <x:v>https://github.github.com/spec-kit/guides/agentic-sdlc.html
https://github.github.com/spec-kit/</x:v>
      </x:c>
    </x:row>
    <x:row r="151" ht="46.5" customHeight="1">
      <x:c r="A151" s="22" t="str">
        <x:v>F26</x:v>
      </x:c>
      <x:c r="B151" s="22" t="str">
        <x:v>SPECKIT</x:v>
      </x:c>
      <x:c r="C151" s="30" t="n">
        <x:f>INDEX('Matrix'!$C$6:$P$35,MATCH(A151,'Matrix'!$A$6:$A$35,0),MATCH(B151,'Matrix'!$C$4:$P$4,0))</x:f>
        <x:v>3</x:v>
      </x:c>
      <x:c r="D151" s="22" t="str">
        <x:v>Self-application</x:v>
      </x:c>
      <x:c r="E151" s="22" t="str">
        <x:v>GitHub Spec Kit</x:v>
      </x:c>
      <x:c r="F151" s="22" t="str">
        <x:v>Concrete self-use case includes specifications, design, tasks and convergence.</x:v>
      </x:c>
      <x:c r="G151" s="22" t="str">
        <x:v>Published coverage; analyst judgment</x:v>
      </x:c>
      <x:c r="H151" s="22" t="str">
        <x:v>K3, K4</x:v>
      </x:c>
      <x:c r="I151" s="50" t="str">
        <x:f>INDEX('Sources'!$D$6:$D$66,MATCH("K3",'Sources'!$A$6:$A$66,0))&amp;CHAR(10)&amp;INDEX('Sources'!$D$6:$D$66,MATCH("K4",'Sources'!$A$6:$A$66,0))</x:f>
        <x:v>https://github.github.com/spec-kit/guides/agentic-sdlc.html
https://github.github.com/spec-kit/</x:v>
      </x:c>
    </x:row>
    <x:row r="152" ht="46.5" customHeight="1">
      <x:c r="A152" s="22" t="str">
        <x:v>F27</x:v>
      </x:c>
      <x:c r="B152" s="22" t="str">
        <x:v>SPECKIT</x:v>
      </x:c>
      <x:c r="C152" s="30" t="n">
        <x:f>INDEX('Matrix'!$C$6:$P$35,MATCH(A152,'Matrix'!$A$6:$A$35,0),MATCH(B152,'Matrix'!$C$4:$P$4,0))</x:f>
        <x:v>3</x:v>
      </x:c>
      <x:c r="D152" s="22" t="str">
        <x:v>AI-native method representation</x:v>
      </x:c>
      <x:c r="E152" s="22" t="str">
        <x:v>GitHub Spec Kit</x:v>
      </x:c>
      <x:c r="F152" s="22" t="str">
        <x:v>Custom processes and documented Spec Kit self-development extend the method.</x:v>
      </x:c>
      <x:c r="G152" s="22" t="str">
        <x:v>Published coverage; analyst judgment</x:v>
      </x:c>
      <x:c r="H152" s="22" t="str">
        <x:v>K3, K4</x:v>
      </x:c>
      <x:c r="I152" s="50" t="str">
        <x:f>INDEX('Sources'!$D$6:$D$66,MATCH("K3",'Sources'!$A$6:$A$66,0))&amp;CHAR(10)&amp;INDEX('Sources'!$D$6:$D$66,MATCH("K4",'Sources'!$A$6:$A$66,0))</x:f>
        <x:v>https://github.github.com/spec-kit/guides/agentic-sdlc.html
https://github.github.com/spec-kit/</x:v>
      </x:c>
    </x:row>
    <x:row r="153" ht="46.5" customHeight="1">
      <x:c r="A153" s="22" t="str">
        <x:v>F28</x:v>
      </x:c>
      <x:c r="B153" s="22" t="str">
        <x:v>SPECKIT</x:v>
      </x:c>
      <x:c r="C153" s="30" t="n">
        <x:f>INDEX('Matrix'!$C$6:$P$35,MATCH(A153,'Matrix'!$A$6:$A$35,0),MATCH(B153,'Matrix'!$C$4:$P$4,0))</x:f>
        <x:v>3</x:v>
      </x:c>
      <x:c r="D153" s="22" t="str">
        <x:v>Onboarding and reader guidance</x:v>
      </x:c>
      <x:c r="E153" s="22" t="str">
        <x:v>GitHub Spec Kit</x:v>
      </x:c>
      <x:c r="F153" s="22" t="str">
        <x:v>Custom processes and documented Spec Kit self-development extend the method.</x:v>
      </x:c>
      <x:c r="G153" s="22" t="str">
        <x:v>Published coverage; analyst judgment</x:v>
      </x:c>
      <x:c r="H153" s="22" t="str">
        <x:v>K3, K4</x:v>
      </x:c>
      <x:c r="I153" s="50" t="str">
        <x:f>INDEX('Sources'!$D$6:$D$66,MATCH("K3",'Sources'!$A$6:$A$66,0))&amp;CHAR(10)&amp;INDEX('Sources'!$D$6:$D$66,MATCH("K4",'Sources'!$A$6:$A$66,0))</x:f>
        <x:v>https://github.github.com/spec-kit/guides/agentic-sdlc.html
https://github.github.com/spec-kit/</x:v>
      </x:c>
    </x:row>
    <x:row r="154" ht="46.5" customHeight="1">
      <x:c r="A154" s="22" t="str">
        <x:v>F29</x:v>
      </x:c>
      <x:c r="B154" s="22" t="str">
        <x:v>SPECKIT</x:v>
      </x:c>
      <x:c r="C154" s="30" t="n">
        <x:f>INDEX('Matrix'!$C$6:$P$35,MATCH(A154,'Matrix'!$A$6:$A$35,0),MATCH(B154,'Matrix'!$C$4:$P$4,0))</x:f>
        <x:v>1</x:v>
      </x:c>
      <x:c r="D154" s="22" t="str">
        <x:v>Evidence of effectiveness</x:v>
      </x:c>
      <x:c r="E154" s="22" t="str">
        <x:v>GitHub Spec Kit</x:v>
      </x:c>
      <x:c r="F154" s="22" t="str">
        <x:v>Self-use adoption is documented; measured time savings are explicitly not established.</x:v>
      </x:c>
      <x:c r="G154" s="22" t="str">
        <x:v>Published coverage; analyst judgment</x:v>
      </x:c>
      <x:c r="H154" s="22" t="str">
        <x:v>K3, K4</x:v>
      </x:c>
      <x:c r="I154" s="50" t="str">
        <x:f>INDEX('Sources'!$D$6:$D$66,MATCH("K3",'Sources'!$A$6:$A$66,0))&amp;CHAR(10)&amp;INDEX('Sources'!$D$6:$D$66,MATCH("K4",'Sources'!$A$6:$A$66,0))</x:f>
        <x:v>https://github.github.com/spec-kit/guides/agentic-sdlc.html
https://github.github.com/spec-kit/</x:v>
      </x:c>
    </x:row>
    <x:row r="155" ht="46.5" customHeight="1">
      <x:c r="A155" s="22" t="str">
        <x:v>F30</x:v>
      </x:c>
      <x:c r="B155" s="22" t="str">
        <x:v>SPECKIT</x:v>
      </x:c>
      <x:c r="C155" s="30" t="n">
        <x:f>INDEX('Matrix'!$C$6:$P$35,MATCH(A155,'Matrix'!$A$6:$A$35,0),MATCH(B155,'Matrix'!$C$4:$P$4,0))</x:f>
        <x:v>1</x:v>
      </x:c>
      <x:c r="D155" s="22" t="str">
        <x:v>Work and resource measurement</x:v>
      </x:c>
      <x:c r="E155" s="22" t="str">
        <x:v>GitHub Spec Kit</x:v>
      </x:c>
      <x:c r="F155" s="22" t="str">
        <x:v>Process guidance exists; inspected sources do not establish method resource measurements.</x:v>
      </x:c>
      <x:c r="G155" s="22" t="str">
        <x:v>Published coverage; analyst judgment</x:v>
      </x:c>
      <x:c r="H155" s="22" t="str">
        <x:v>K3, K4</x:v>
      </x:c>
      <x:c r="I155" s="50" t="str">
        <x:f>INDEX('Sources'!$D$6:$D$66,MATCH("K3",'Sources'!$A$6:$A$66,0))&amp;CHAR(10)&amp;INDEX('Sources'!$D$6:$D$66,MATCH("K4",'Sources'!$A$6:$A$66,0))</x:f>
        <x:v>https://github.github.com/spec-kit/guides/agentic-sdlc.html
https://github.github.com/spec-kit/</x:v>
      </x:c>
    </x:row>
    <x:row r="156" ht="46.5" customHeight="1">
      <x:c r="A156" s="22" t="str">
        <x:v>F01</x:v>
      </x:c>
      <x:c r="B156" s="22" t="str">
        <x:v>KIRO</x:v>
      </x:c>
      <x:c r="C156" s="30" t="n">
        <x:f>INDEX('Matrix'!$C$6:$P$35,MATCH(A156,'Matrix'!$A$6:$A$35,0),MATCH(B156,'Matrix'!$C$4:$P$4,0))</x:f>
        <x:v>3</x:v>
      </x:c>
      <x:c r="D156" s="22" t="str">
        <x:v>Intent and success criteria</x:v>
      </x:c>
      <x:c r="E156" s="22" t="str">
        <x:v>Kiro specs/workflows</x:v>
      </x:c>
      <x:c r="F156" s="22" t="str">
        <x:v>Requirements/design/tasks artifacts, acceptance criteria and dependency-ordered execution.</x:v>
      </x:c>
      <x:c r="G156" s="22" t="str">
        <x:v>Published coverage; analyst judgment</x:v>
      </x:c>
      <x:c r="H156" s="22" t="str">
        <x:v>I1</x:v>
      </x:c>
      <x:c r="I156" s="50" t="str">
        <x:f>INDEX('Sources'!$D$6:$D$66,MATCH("I1",'Sources'!$A$6:$A$66,0))</x:f>
        <x:v>https://kiro.dev/docs/specs/</x:v>
      </x:c>
    </x:row>
    <x:row r="157" ht="46.5" customHeight="1">
      <x:c r="A157" s="22" t="str">
        <x:v>F02</x:v>
      </x:c>
      <x:c r="B157" s="22" t="str">
        <x:v>KIRO</x:v>
      </x:c>
      <x:c r="C157" s="30" t="n">
        <x:f>INDEX('Matrix'!$C$6:$P$35,MATCH(A157,'Matrix'!$A$6:$A$35,0),MATCH(B157,'Matrix'!$C$4:$P$4,0))</x:f>
        <x:v>2</x:v>
      </x:c>
      <x:c r="D157" s="22" t="str">
        <x:v>Product definition and scope</x:v>
      </x:c>
      <x:c r="E157" s="22" t="str">
        <x:v>Kiro specs/workflows</x:v>
      </x:c>
      <x:c r="F157" s="22" t="str">
        <x:v>Requirements/design/tasks artifacts, acceptance criteria and dependency-ordered execution.</x:v>
      </x:c>
      <x:c r="G157" s="22" t="str">
        <x:v>Published coverage; analyst judgment</x:v>
      </x:c>
      <x:c r="H157" s="22" t="str">
        <x:v>I1</x:v>
      </x:c>
      <x:c r="I157" s="50" t="str">
        <x:f>INDEX('Sources'!$D$6:$D$66,MATCH("I1",'Sources'!$A$6:$A$66,0))</x:f>
        <x:v>https://kiro.dev/docs/specs/</x:v>
      </x:c>
    </x:row>
    <x:row r="158" ht="46.5" customHeight="1">
      <x:c r="A158" s="22" t="str">
        <x:v>F03</x:v>
      </x:c>
      <x:c r="B158" s="22" t="str">
        <x:v>KIRO</x:v>
      </x:c>
      <x:c r="C158" s="30" t="n">
        <x:f>INDEX('Matrix'!$C$6:$P$35,MATCH(A158,'Matrix'!$A$6:$A$35,0),MATCH(B158,'Matrix'!$C$4:$P$4,0))</x:f>
        <x:v>3</x:v>
      </x:c>
      <x:c r="D158" s="22" t="str">
        <x:v>Requirements before construction</x:v>
      </x:c>
      <x:c r="E158" s="22" t="str">
        <x:v>Kiro specs/workflows</x:v>
      </x:c>
      <x:c r="F158" s="22" t="str">
        <x:v>Requirements/design/tasks artifacts, acceptance criteria and dependency-ordered execution.</x:v>
      </x:c>
      <x:c r="G158" s="22" t="str">
        <x:v>Published coverage; analyst judgment</x:v>
      </x:c>
      <x:c r="H158" s="22" t="str">
        <x:v>I1</x:v>
      </x:c>
      <x:c r="I158" s="50" t="str">
        <x:f>INDEX('Sources'!$D$6:$D$66,MATCH("I1",'Sources'!$A$6:$A$66,0))</x:f>
        <x:v>https://kiro.dev/docs/specs/</x:v>
      </x:c>
    </x:row>
    <x:row r="159" ht="46.5" customHeight="1">
      <x:c r="A159" s="22" t="str">
        <x:v>F04</x:v>
      </x:c>
      <x:c r="B159" s="22" t="str">
        <x:v>KIRO</x:v>
      </x:c>
      <x:c r="C159" s="30" t="n">
        <x:f>INDEX('Matrix'!$C$6:$P$35,MATCH(A159,'Matrix'!$A$6:$A$35,0),MATCH(B159,'Matrix'!$C$4:$P$4,0))</x:f>
        <x:v>3</x:v>
      </x:c>
      <x:c r="D159" s="22" t="str">
        <x:v>Design separated from requirements</x:v>
      </x:c>
      <x:c r="E159" s="22" t="str">
        <x:v>Kiro specs/workflows</x:v>
      </x:c>
      <x:c r="F159" s="22" t="str">
        <x:v>Requirements/design/tasks artifacts, acceptance criteria and dependency-ordered execution.</x:v>
      </x:c>
      <x:c r="G159" s="22" t="str">
        <x:v>Published coverage; analyst judgment</x:v>
      </x:c>
      <x:c r="H159" s="22" t="str">
        <x:v>I1</x:v>
      </x:c>
      <x:c r="I159" s="50" t="str">
        <x:f>INDEX('Sources'!$D$6:$D$66,MATCH("I1",'Sources'!$A$6:$A$66,0))</x:f>
        <x:v>https://kiro.dev/docs/specs/</x:v>
      </x:c>
    </x:row>
    <x:row r="160" ht="46.5" customHeight="1">
      <x:c r="A160" s="22" t="str">
        <x:v>F05</x:v>
      </x:c>
      <x:c r="B160" s="22" t="str">
        <x:v>KIRO</x:v>
      </x:c>
      <x:c r="C160" s="30" t="n">
        <x:f>INDEX('Matrix'!$C$6:$P$35,MATCH(A160,'Matrix'!$A$6:$A$35,0),MATCH(B160,'Matrix'!$C$4:$P$4,0))</x:f>
        <x:v>3</x:v>
      </x:c>
      <x:c r="D160" s="22" t="str">
        <x:v>Traceability across stages</x:v>
      </x:c>
      <x:c r="E160" s="22" t="str">
        <x:v>Kiro specs/workflows</x:v>
      </x:c>
      <x:c r="F160" s="22" t="str">
        <x:v>Requirements/design/tasks artifacts, acceptance criteria and dependency-ordered execution.</x:v>
      </x:c>
      <x:c r="G160" s="22" t="str">
        <x:v>Published coverage; analyst judgment</x:v>
      </x:c>
      <x:c r="H160" s="22" t="str">
        <x:v>I1</x:v>
      </x:c>
      <x:c r="I160" s="50" t="str">
        <x:f>INDEX('Sources'!$D$6:$D$66,MATCH("I1",'Sources'!$A$6:$A$66,0))</x:f>
        <x:v>https://kiro.dev/docs/specs/</x:v>
      </x:c>
    </x:row>
    <x:row r="161" ht="46.5" customHeight="1">
      <x:c r="A161" s="22" t="str">
        <x:v>F06</x:v>
      </x:c>
      <x:c r="B161" s="22" t="str">
        <x:v>KIRO</x:v>
      </x:c>
      <x:c r="C161" s="30" t="n">
        <x:f>INDEX('Matrix'!$C$6:$P$35,MATCH(A161,'Matrix'!$A$6:$A$35,0),MATCH(B161,'Matrix'!$C$4:$P$4,0))</x:f>
        <x:v>2</x:v>
      </x:c>
      <x:c r="D161" s="22" t="str">
        <x:v>Domain concepts and identity</x:v>
      </x:c>
      <x:c r="E161" s="22" t="str">
        <x:v>Kiro specs/workflows</x:v>
      </x:c>
      <x:c r="F161" s="22" t="str">
        <x:v>JSON/YAML graphs define steps, handoffs, branches and loops; input types are hints.</x:v>
      </x:c>
      <x:c r="G161" s="22" t="str">
        <x:v>Published coverage; analyst judgment</x:v>
      </x:c>
      <x:c r="H161" s="22" t="str">
        <x:v>I1, I3</x:v>
      </x:c>
      <x:c r="I161" s="50" t="str">
        <x:f>INDEX('Sources'!$D$6:$D$66,MATCH("I1",'Sources'!$A$6:$A$66,0))&amp;CHAR(10)&amp;INDEX('Sources'!$D$6:$D$66,MATCH("I3",'Sources'!$A$6:$A$66,0))</x:f>
        <x:v>https://kiro.dev/docs/specs/
https://kiro.dev/docs/workflows/authoring/</x:v>
      </x:c>
    </x:row>
    <x:row r="162" ht="46.5" customHeight="1">
      <x:c r="A162" s="22" t="str">
        <x:v>F07</x:v>
      </x:c>
      <x:c r="B162" s="22" t="str">
        <x:v>KIRO</x:v>
      </x:c>
      <x:c r="C162" s="30" t="n">
        <x:f>INDEX('Matrix'!$C$6:$P$35,MATCH(A162,'Matrix'!$A$6:$A$35,0),MATCH(B162,'Matrix'!$C$4:$P$4,0))</x:f>
        <x:v>2</x:v>
      </x:c>
      <x:c r="D162" s="22" t="str">
        <x:v>Explicit inputs, outputs and contracts</x:v>
      </x:c>
      <x:c r="E162" s="22" t="str">
        <x:v>Kiro specs/workflows</x:v>
      </x:c>
      <x:c r="F162" s="22" t="str">
        <x:v>JSON/YAML graphs define steps, handoffs, branches and loops; input types are hints.</x:v>
      </x:c>
      <x:c r="G162" s="22" t="str">
        <x:v>Published coverage; analyst judgment</x:v>
      </x:c>
      <x:c r="H162" s="22" t="str">
        <x:v>I1, I3</x:v>
      </x:c>
      <x:c r="I162" s="50" t="str">
        <x:f>INDEX('Sources'!$D$6:$D$66,MATCH("I1",'Sources'!$A$6:$A$66,0))&amp;CHAR(10)&amp;INDEX('Sources'!$D$6:$D$66,MATCH("I3",'Sources'!$A$6:$A$66,0))</x:f>
        <x:v>https://kiro.dev/docs/specs/
https://kiro.dev/docs/workflows/authoring/</x:v>
      </x:c>
    </x:row>
    <x:row r="163" ht="46.5" customHeight="1">
      <x:c r="A163" s="22" t="str">
        <x:v>F08</x:v>
      </x:c>
      <x:c r="B163" s="22" t="str">
        <x:v>KIRO</x:v>
      </x:c>
      <x:c r="C163" s="30" t="n">
        <x:f>INDEX('Matrix'!$C$6:$P$35,MATCH(A163,'Matrix'!$A$6:$A$35,0),MATCH(B163,'Matrix'!$C$4:$P$4,0))</x:f>
        <x:v>3</x:v>
      </x:c>
      <x:c r="D163" s="22" t="str">
        <x:v>Invariants and semantic constraints</x:v>
      </x:c>
      <x:c r="E163" s="22" t="str">
        <x:v>Kiro specs/workflows</x:v>
      </x:c>
      <x:c r="F163" s="22" t="str">
        <x:v>JSON/YAML graphs define steps, handoffs, branches and loops; input types are hints.</x:v>
      </x:c>
      <x:c r="G163" s="22" t="str">
        <x:v>Published coverage; analyst judgment</x:v>
      </x:c>
      <x:c r="H163" s="22" t="str">
        <x:v>I1, I3</x:v>
      </x:c>
      <x:c r="I163" s="50" t="str">
        <x:f>INDEX('Sources'!$D$6:$D$66,MATCH("I1",'Sources'!$A$6:$A$66,0))&amp;CHAR(10)&amp;INDEX('Sources'!$D$6:$D$66,MATCH("I3",'Sources'!$A$6:$A$66,0))</x:f>
        <x:v>https://kiro.dev/docs/specs/
https://kiro.dev/docs/workflows/authoring/</x:v>
      </x:c>
    </x:row>
    <x:row r="164" ht="46.5" customHeight="1">
      <x:c r="A164" s="22" t="str">
        <x:v>F09</x:v>
      </x:c>
      <x:c r="B164" s="22" t="str">
        <x:v>KIRO</x:v>
      </x:c>
      <x:c r="C164" s="30" t="n">
        <x:f>INDEX('Matrix'!$C$6:$P$35,MATCH(A164,'Matrix'!$A$6:$A$35,0),MATCH(B164,'Matrix'!$C$4:$P$4,0))</x:f>
        <x:v>2</x:v>
      </x:c>
      <x:c r="D164" s="22" t="str">
        <x:v>Composition and formal reasoning</x:v>
      </x:c>
      <x:c r="E164" s="22" t="str">
        <x:v>Kiro specs/workflows</x:v>
      </x:c>
      <x:c r="F164" s="22" t="str">
        <x:v>JSON/YAML graphs define steps, handoffs, branches and loops; input types are hints.</x:v>
      </x:c>
      <x:c r="G164" s="22" t="str">
        <x:v>Published coverage; analyst judgment</x:v>
      </x:c>
      <x:c r="H164" s="22" t="str">
        <x:v>I1, I3</x:v>
      </x:c>
      <x:c r="I164" s="50" t="str">
        <x:f>INDEX('Sources'!$D$6:$D$66,MATCH("I1",'Sources'!$A$6:$A$66,0))&amp;CHAR(10)&amp;INDEX('Sources'!$D$6:$D$66,MATCH("I3",'Sources'!$A$6:$A$66,0))</x:f>
        <x:v>https://kiro.dev/docs/specs/
https://kiro.dev/docs/workflows/authoring/</x:v>
      </x:c>
    </x:row>
    <x:row r="165" ht="46.5" customHeight="1">
      <x:c r="A165" s="22" t="str">
        <x:v>F10</x:v>
      </x:c>
      <x:c r="B165" s="22" t="str">
        <x:v>KIRO</x:v>
      </x:c>
      <x:c r="C165" s="30" t="n">
        <x:f>INDEX('Matrix'!$C$6:$P$35,MATCH(A165,'Matrix'!$A$6:$A$35,0),MATCH(B165,'Matrix'!$C$4:$P$4,0))</x:f>
        <x:v>3</x:v>
      </x:c>
      <x:c r="D165" s="22" t="str">
        <x:v>Relevant context selection</x:v>
      </x:c>
      <x:c r="E165" s="22" t="str">
        <x:v>Kiro specs/workflows</x:v>
      </x:c>
      <x:c r="F165" s="22" t="str">
        <x:v>Fresh isolated step sessions, explicit handoffs, node checkpoints and bounded repeats.</x:v>
      </x:c>
      <x:c r="G165" s="22" t="str">
        <x:v>Published coverage; analyst judgment</x:v>
      </x:c>
      <x:c r="H165" s="22" t="str">
        <x:v>I2, I3</x:v>
      </x:c>
      <x:c r="I165" s="50" t="str">
        <x:f>INDEX('Sources'!$D$6:$D$66,MATCH("I2",'Sources'!$A$6:$A$66,0))&amp;CHAR(10)&amp;INDEX('Sources'!$D$6:$D$66,MATCH("I3",'Sources'!$A$6:$A$66,0))</x:f>
        <x:v>https://kiro.dev/docs/workflows/
https://kiro.dev/docs/workflows/authoring/</x:v>
      </x:c>
    </x:row>
    <x:row r="166" ht="46.5" customHeight="1">
      <x:c r="A166" s="22" t="str">
        <x:v>F11</x:v>
      </x:c>
      <x:c r="B166" s="22" t="str">
        <x:v>KIRO</x:v>
      </x:c>
      <x:c r="C166" s="30" t="n">
        <x:f>INDEX('Matrix'!$C$6:$P$35,MATCH(A166,'Matrix'!$A$6:$A$35,0),MATCH(B166,'Matrix'!$C$4:$P$4,0))</x:f>
        <x:v>3</x:v>
      </x:c>
      <x:c r="D166" s="22" t="str">
        <x:v>Attention fit and proportionality</x:v>
      </x:c>
      <x:c r="E166" s="22" t="str">
        <x:v>Kiro specs/workflows</x:v>
      </x:c>
      <x:c r="F166" s="22" t="str">
        <x:v>Fresh isolated step sessions, explicit handoffs, node checkpoints and bounded repeats.</x:v>
      </x:c>
      <x:c r="G166" s="22" t="str">
        <x:v>Published coverage; analyst judgment</x:v>
      </x:c>
      <x:c r="H166" s="22" t="str">
        <x:v>I2, I3</x:v>
      </x:c>
      <x:c r="I166" s="50" t="str">
        <x:f>INDEX('Sources'!$D$6:$D$66,MATCH("I2",'Sources'!$A$6:$A$66,0))&amp;CHAR(10)&amp;INDEX('Sources'!$D$6:$D$66,MATCH("I3",'Sources'!$A$6:$A$66,0))</x:f>
        <x:v>https://kiro.dev/docs/workflows/
https://kiro.dev/docs/workflows/authoring/</x:v>
      </x:c>
    </x:row>
    <x:row r="167" ht="46.5" customHeight="1">
      <x:c r="A167" s="22" t="str">
        <x:v>F12</x:v>
      </x:c>
      <x:c r="B167" s="22" t="str">
        <x:v>KIRO</x:v>
      </x:c>
      <x:c r="C167" s="30" t="n">
        <x:f>INDEX('Matrix'!$C$6:$P$35,MATCH(A167,'Matrix'!$A$6:$A$35,0),MATCH(B167,'Matrix'!$C$4:$P$4,0))</x:f>
        <x:v>3</x:v>
      </x:c>
      <x:c r="D167" s="22" t="str">
        <x:v>Bounded probabilistic construction</x:v>
      </x:c>
      <x:c r="E167" s="22" t="str">
        <x:v>Kiro specs/workflows</x:v>
      </x:c>
      <x:c r="F167" s="22" t="str">
        <x:v>Fresh isolated step sessions, explicit handoffs, node checkpoints and bounded repeats.</x:v>
      </x:c>
      <x:c r="G167" s="22" t="str">
        <x:v>Published coverage; analyst judgment</x:v>
      </x:c>
      <x:c r="H167" s="22" t="str">
        <x:v>I2, I3</x:v>
      </x:c>
      <x:c r="I167" s="50" t="str">
        <x:f>INDEX('Sources'!$D$6:$D$66,MATCH("I2",'Sources'!$A$6:$A$66,0))&amp;CHAR(10)&amp;INDEX('Sources'!$D$6:$D$66,MATCH("I3",'Sources'!$A$6:$A$66,0))</x:f>
        <x:v>https://kiro.dev/docs/workflows/
https://kiro.dev/docs/workflows/authoring/</x:v>
      </x:c>
    </x:row>
    <x:row r="168" ht="46.5" customHeight="1">
      <x:c r="A168" s="22" t="str">
        <x:v>F13</x:v>
      </x:c>
      <x:c r="B168" s="22" t="str">
        <x:v>KIRO</x:v>
      </x:c>
      <x:c r="C168" s="30" t="n">
        <x:f>INDEX('Matrix'!$C$6:$P$35,MATCH(A168,'Matrix'!$A$6:$A$35,0),MATCH(B168,'Matrix'!$C$4:$P$4,0))</x:f>
        <x:v>3</x:v>
      </x:c>
      <x:c r="D168" s="22" t="str">
        <x:v>Decomposition and recursive workflows</x:v>
      </x:c>
      <x:c r="E168" s="22" t="str">
        <x:v>Kiro specs/workflows</x:v>
      </x:c>
      <x:c r="F168" s="22" t="str">
        <x:v>Fresh isolated step sessions, explicit handoffs, node checkpoints and bounded repeats.</x:v>
      </x:c>
      <x:c r="G168" s="22" t="str">
        <x:v>Published coverage; analyst judgment</x:v>
      </x:c>
      <x:c r="H168" s="22" t="str">
        <x:v>I2, I3</x:v>
      </x:c>
      <x:c r="I168" s="50" t="str">
        <x:f>INDEX('Sources'!$D$6:$D$66,MATCH("I2",'Sources'!$A$6:$A$66,0))&amp;CHAR(10)&amp;INDEX('Sources'!$D$6:$D$66,MATCH("I3",'Sources'!$A$6:$A$66,0))</x:f>
        <x:v>https://kiro.dev/docs/workflows/
https://kiro.dev/docs/workflows/authoring/</x:v>
      </x:c>
    </x:row>
    <x:row r="169" ht="46.5" customHeight="1">
      <x:c r="A169" s="22" t="str">
        <x:v>F14</x:v>
      </x:c>
      <x:c r="B169" s="22" t="str">
        <x:v>KIRO</x:v>
      </x:c>
      <x:c r="C169" s="30" t="n">
        <x:f>INDEX('Matrix'!$C$6:$P$35,MATCH(A169,'Matrix'!$A$6:$A$35,0),MATCH(B169,'Matrix'!$C$4:$P$4,0))</x:f>
        <x:v>3</x:v>
      </x:c>
      <x:c r="D169" s="22" t="str">
        <x:v>Durable state and resumption</x:v>
      </x:c>
      <x:c r="E169" s="22" t="str">
        <x:v>Kiro specs/workflows</x:v>
      </x:c>
      <x:c r="F169" s="22" t="str">
        <x:v>Fresh isolated step sessions, explicit handoffs, node checkpoints and bounded repeats.</x:v>
      </x:c>
      <x:c r="G169" s="22" t="str">
        <x:v>Published coverage; analyst judgment</x:v>
      </x:c>
      <x:c r="H169" s="22" t="str">
        <x:v>I2, I3</x:v>
      </x:c>
      <x:c r="I169" s="50" t="str">
        <x:f>INDEX('Sources'!$D$6:$D$66,MATCH("I2",'Sources'!$A$6:$A$66,0))&amp;CHAR(10)&amp;INDEX('Sources'!$D$6:$D$66,MATCH("I3",'Sources'!$A$6:$A$66,0))</x:f>
        <x:v>https://kiro.dev/docs/workflows/
https://kiro.dev/docs/workflows/authoring/</x:v>
      </x:c>
    </x:row>
    <x:row r="170" ht="46.5" customHeight="1">
      <x:c r="A170" s="22" t="str">
        <x:v>F15</x:v>
      </x:c>
      <x:c r="B170" s="22" t="str">
        <x:v>KIRO</x:v>
      </x:c>
      <x:c r="C170" s="30" t="n">
        <x:f>INDEX('Matrix'!$C$6:$P$35,MATCH(A170,'Matrix'!$A$6:$A$35,0),MATCH(B170,'Matrix'!$C$4:$P$4,0))</x:f>
        <x:v>3</x:v>
      </x:c>
      <x:c r="D170" s="22" t="str">
        <x:v>Observation and next-action feedback</x:v>
      </x:c>
      <x:c r="E170" s="22" t="str">
        <x:v>Kiro specs/workflows</x:v>
      </x:c>
      <x:c r="F170" s="22" t="str">
        <x:v>Fresh isolated step sessions, explicit handoffs, node checkpoints and bounded repeats.</x:v>
      </x:c>
      <x:c r="G170" s="22" t="str">
        <x:v>Published coverage; analyst judgment</x:v>
      </x:c>
      <x:c r="H170" s="22" t="str">
        <x:v>I2, I3</x:v>
      </x:c>
      <x:c r="I170" s="50" t="str">
        <x:f>INDEX('Sources'!$D$6:$D$66,MATCH("I2",'Sources'!$A$6:$A$66,0))&amp;CHAR(10)&amp;INDEX('Sources'!$D$6:$D$66,MATCH("I3",'Sources'!$A$6:$A$66,0))</x:f>
        <x:v>https://kiro.dev/docs/workflows/
https://kiro.dev/docs/workflows/authoring/</x:v>
      </x:c>
    </x:row>
    <x:row r="171" ht="46.5" customHeight="1">
      <x:c r="A171" s="22" t="str">
        <x:v>F16</x:v>
      </x:c>
      <x:c r="B171" s="22" t="str">
        <x:v>KIRO</x:v>
      </x:c>
      <x:c r="C171" s="30" t="n">
        <x:f>INDEX('Matrix'!$C$6:$P$35,MATCH(A171,'Matrix'!$A$6:$A$35,0),MATCH(B171,'Matrix'!$C$4:$P$4,0))</x:f>
        <x:v>3</x:v>
      </x:c>
      <x:c r="D171" s="22" t="str">
        <x:v>Uncertainty, stops and re-entry</x:v>
      </x:c>
      <x:c r="E171" s="22" t="str">
        <x:v>Kiro specs/workflows</x:v>
      </x:c>
      <x:c r="F171" s="22" t="str">
        <x:v>Fresh isolated step sessions, explicit handoffs, node checkpoints and bounded repeats.</x:v>
      </x:c>
      <x:c r="G171" s="22" t="str">
        <x:v>Published coverage; analyst judgment</x:v>
      </x:c>
      <x:c r="H171" s="22" t="str">
        <x:v>I2, I3</x:v>
      </x:c>
      <x:c r="I171" s="50" t="str">
        <x:f>INDEX('Sources'!$D$6:$D$66,MATCH("I2",'Sources'!$A$6:$A$66,0))&amp;CHAR(10)&amp;INDEX('Sources'!$D$6:$D$66,MATCH("I3",'Sources'!$A$6:$A$66,0))</x:f>
        <x:v>https://kiro.dev/docs/workflows/
https://kiro.dev/docs/workflows/authoring/</x:v>
      </x:c>
    </x:row>
    <x:row r="172" ht="54" customHeight="1">
      <x:c r="A172" s="22" t="str">
        <x:v>F17</x:v>
      </x:c>
      <x:c r="B172" s="22" t="str">
        <x:v>KIRO</x:v>
      </x:c>
      <x:c r="C172" s="30" t="n">
        <x:f>INDEX('Matrix'!$C$6:$P$35,MATCH(A172,'Matrix'!$A$6:$A$35,0),MATCH(B172,'Matrix'!$C$4:$P$4,0))</x:f>
        <x:v>2</x:v>
      </x:c>
      <x:c r="D172" s="22" t="str">
        <x:v>Permissions and effect boundaries</x:v>
      </x:c>
      <x:c r="E172" s="22" t="str">
        <x:v>Kiro specs/workflows</x:v>
      </x:c>
      <x:c r="F172" s="22" t="str">
        <x:v>Workflow side effects depend on selected agents and permissions; recipes require review.</x:v>
      </x:c>
      <x:c r="G172" s="22" t="str">
        <x:v>Published coverage; analyst judgment</x:v>
      </x:c>
      <x:c r="H172" s="22" t="str">
        <x:v>I1, I2, I3</x:v>
      </x:c>
      <x:c r="I172" s="50" t="str">
        <x:f>INDEX('Sources'!$D$6:$D$66,MATCH("I1",'Sources'!$A$6:$A$66,0))&amp;CHAR(10)&amp;INDEX('Sources'!$D$6:$D$66,MATCH("I2",'Sources'!$A$6:$A$66,0))&amp;CHAR(10)&amp;INDEX('Sources'!$D$6:$D$66,MATCH("I3",'Sources'!$A$6:$A$66,0))</x:f>
        <x:v>https://kiro.dev/docs/specs/
https://kiro.dev/docs/workflows/
https://kiro.dev/docs/workflows/authoring/</x:v>
      </x:c>
    </x:row>
    <x:row r="173" ht="54" customHeight="1">
      <x:c r="A173" s="22" t="str">
        <x:v>F18</x:v>
      </x:c>
      <x:c r="B173" s="22" t="str">
        <x:v>KIRO</x:v>
      </x:c>
      <x:c r="C173" s="30" t="n">
        <x:f>INDEX('Matrix'!$C$6:$P$35,MATCH(A173,'Matrix'!$A$6:$A$35,0),MATCH(B173,'Matrix'!$C$4:$P$4,0))</x:f>
        <x:v>3</x:v>
      </x:c>
      <x:c r="D173" s="22" t="str">
        <x:v>Independent assessment</x:v>
      </x:c>
      <x:c r="E173" s="22" t="str">
        <x:v>Kiro specs/workflows</x:v>
      </x:c>
      <x:c r="F173" s="22" t="str">
        <x:v>Design reviewers and independent branches; tests and declared completion evidence.</x:v>
      </x:c>
      <x:c r="G173" s="22" t="str">
        <x:v>Published coverage; analyst judgment</x:v>
      </x:c>
      <x:c r="H173" s="22" t="str">
        <x:v>I1, I2, I3</x:v>
      </x:c>
      <x:c r="I173" s="50" t="str">
        <x:f>INDEX('Sources'!$D$6:$D$66,MATCH("I1",'Sources'!$A$6:$A$66,0))&amp;CHAR(10)&amp;INDEX('Sources'!$D$6:$D$66,MATCH("I2",'Sources'!$A$6:$A$66,0))&amp;CHAR(10)&amp;INDEX('Sources'!$D$6:$D$66,MATCH("I3",'Sources'!$A$6:$A$66,0))</x:f>
        <x:v>https://kiro.dev/docs/specs/
https://kiro.dev/docs/workflows/
https://kiro.dev/docs/workflows/authoring/</x:v>
      </x:c>
    </x:row>
    <x:row r="174" ht="54" customHeight="1">
      <x:c r="A174" s="22" t="str">
        <x:v>F19</x:v>
      </x:c>
      <x:c r="B174" s="22" t="str">
        <x:v>KIRO</x:v>
      </x:c>
      <x:c r="C174" s="30" t="n">
        <x:f>INDEX('Matrix'!$C$6:$P$35,MATCH(A174,'Matrix'!$A$6:$A$35,0),MATCH(B174,'Matrix'!$C$4:$P$4,0))</x:f>
        <x:v>3</x:v>
      </x:c>
      <x:c r="D174" s="22" t="str">
        <x:v>Operational and negative tests</x:v>
      </x:c>
      <x:c r="E174" s="22" t="str">
        <x:v>Kiro specs/workflows</x:v>
      </x:c>
      <x:c r="F174" s="22" t="str">
        <x:v>Design reviewers and independent branches; tests and declared completion evidence.</x:v>
      </x:c>
      <x:c r="G174" s="22" t="str">
        <x:v>Published coverage; analyst judgment</x:v>
      </x:c>
      <x:c r="H174" s="22" t="str">
        <x:v>I1, I2, I3</x:v>
      </x:c>
      <x:c r="I174" s="50" t="str">
        <x:f>INDEX('Sources'!$D$6:$D$66,MATCH("I1",'Sources'!$A$6:$A$66,0))&amp;CHAR(10)&amp;INDEX('Sources'!$D$6:$D$66,MATCH("I2",'Sources'!$A$6:$A$66,0))&amp;CHAR(10)&amp;INDEX('Sources'!$D$6:$D$66,MATCH("I3",'Sources'!$A$6:$A$66,0))</x:f>
        <x:v>https://kiro.dev/docs/specs/
https://kiro.dev/docs/workflows/
https://kiro.dev/docs/workflows/authoring/</x:v>
      </x:c>
    </x:row>
    <x:row r="175" ht="54" customHeight="1">
      <x:c r="A175" s="22" t="str">
        <x:v>F20</x:v>
      </x:c>
      <x:c r="B175" s="22" t="str">
        <x:v>KIRO</x:v>
      </x:c>
      <x:c r="C175" s="30" t="n">
        <x:f>INDEX('Matrix'!$C$6:$P$35,MATCH(A175,'Matrix'!$A$6:$A$35,0),MATCH(B175,'Matrix'!$C$4:$P$4,0))</x:f>
        <x:v>2</x:v>
      </x:c>
      <x:c r="D175" s="22" t="str">
        <x:v>Claim and evidence separation</x:v>
      </x:c>
      <x:c r="E175" s="22" t="str">
        <x:v>Kiro specs/workflows</x:v>
      </x:c>
      <x:c r="F175" s="22" t="str">
        <x:v>Design reviewers and independent branches; tests and declared completion evidence.</x:v>
      </x:c>
      <x:c r="G175" s="22" t="str">
        <x:v>Published coverage; analyst judgment</x:v>
      </x:c>
      <x:c r="H175" s="22" t="str">
        <x:v>I1, I2, I3</x:v>
      </x:c>
      <x:c r="I175" s="50" t="str">
        <x:f>INDEX('Sources'!$D$6:$D$66,MATCH("I1",'Sources'!$A$6:$A$66,0))&amp;CHAR(10)&amp;INDEX('Sources'!$D$6:$D$66,MATCH("I2",'Sources'!$A$6:$A$66,0))&amp;CHAR(10)&amp;INDEX('Sources'!$D$6:$D$66,MATCH("I3",'Sources'!$A$6:$A$66,0))</x:f>
        <x:v>https://kiro.dev/docs/specs/
https://kiro.dev/docs/workflows/
https://kiro.dev/docs/workflows/authoring/</x:v>
      </x:c>
    </x:row>
    <x:row r="176" ht="54" customHeight="1">
      <x:c r="A176" s="22" t="str">
        <x:v>F21</x:v>
      </x:c>
      <x:c r="B176" s="22" t="str">
        <x:v>KIRO</x:v>
      </x:c>
      <x:c r="C176" s="30" t="n">
        <x:f>INDEX('Matrix'!$C$6:$P$35,MATCH(A176,'Matrix'!$A$6:$A$35,0),MATCH(B176,'Matrix'!$C$4:$P$4,0))</x:f>
        <x:v>3</x:v>
      </x:c>
      <x:c r="D176" s="22" t="str">
        <x:v>Provenance and auditability</x:v>
      </x:c>
      <x:c r="E176" s="22" t="str">
        <x:v>Kiro specs/workflows</x:v>
      </x:c>
      <x:c r="F176" s="22" t="str">
        <x:v>Design reviewers and independent branches; tests and declared completion evidence.</x:v>
      </x:c>
      <x:c r="G176" s="22" t="str">
        <x:v>Published coverage; analyst judgment</x:v>
      </x:c>
      <x:c r="H176" s="22" t="str">
        <x:v>I1, I2, I3</x:v>
      </x:c>
      <x:c r="I176" s="50" t="str">
        <x:f>INDEX('Sources'!$D$6:$D$66,MATCH("I1",'Sources'!$A$6:$A$66,0))&amp;CHAR(10)&amp;INDEX('Sources'!$D$6:$D$66,MATCH("I2",'Sources'!$A$6:$A$66,0))&amp;CHAR(10)&amp;INDEX('Sources'!$D$6:$D$66,MATCH("I3",'Sources'!$A$6:$A$66,0))</x:f>
        <x:v>https://kiro.dev/docs/specs/
https://kiro.dev/docs/workflows/
https://kiro.dev/docs/workflows/authoring/</x:v>
      </x:c>
    </x:row>
    <x:row r="177" ht="46.5" customHeight="1">
      <x:c r="A177" s="22" t="str">
        <x:v>F22</x:v>
      </x:c>
      <x:c r="B177" s="22" t="str">
        <x:v>KIRO</x:v>
      </x:c>
      <x:c r="C177" s="30" t="n">
        <x:f>INDEX('Matrix'!$C$6:$P$35,MATCH(A177,'Matrix'!$A$6:$A$35,0),MATCH(B177,'Matrix'!$C$4:$P$4,0))</x:f>
        <x:v>2</x:v>
      </x:c>
      <x:c r="D177" s="22" t="str">
        <x:v>Change impact and specification revision</x:v>
      </x:c>
      <x:c r="E177" s="22" t="str">
        <x:v>Kiro specs/workflows</x:v>
      </x:c>
      <x:c r="F177" s="22" t="str">
        <x:v>Revised plans can retain completed work; general dependency-aware invalidation of accepted claims is not established.</x:v>
      </x:c>
      <x:c r="G177" s="22" t="str">
        <x:v>Published coverage; analyst judgment</x:v>
      </x:c>
      <x:c r="H177" s="22" t="str">
        <x:v>I2, I3</x:v>
      </x:c>
      <x:c r="I177" s="50" t="str">
        <x:f>INDEX('Sources'!$D$6:$D$66,MATCH("I2",'Sources'!$A$6:$A$66,0))&amp;CHAR(10)&amp;INDEX('Sources'!$D$6:$D$66,MATCH("I3",'Sources'!$A$6:$A$66,0))</x:f>
        <x:v>https://kiro.dev/docs/workflows/
https://kiro.dev/docs/workflows/authoring/</x:v>
      </x:c>
    </x:row>
    <x:row r="178" ht="46.5" customHeight="1">
      <x:c r="A178" s="22" t="str">
        <x:v>F23</x:v>
      </x:c>
      <x:c r="B178" s="22" t="str">
        <x:v>KIRO</x:v>
      </x:c>
      <x:c r="C178" s="30" t="str">
        <x:f>INDEX('Matrix'!$C$6:$P$35,MATCH(A178,'Matrix'!$A$6:$A$35,0),MATCH(B178,'Matrix'!$C$4:$P$4,0))</x:f>
        <x:v>U</x:v>
      </x:c>
      <x:c r="D178" s="22" t="str">
        <x:v>Versioned release and adoption</x:v>
      </x:c>
      <x:c r="E178" s="22" t="str">
        <x:v>Kiro specs/workflows</x:v>
      </x:c>
      <x:c r="F178" s="22" t="str">
        <x:v>Specs and workflow checkpoints do not establish output release identity, qualification and adoption of a changed basis.</x:v>
      </x:c>
      <x:c r="G178" s="22" t="str">
        <x:v>Published coverage; analyst judgment</x:v>
      </x:c>
      <x:c r="H178" s="22" t="str">
        <x:v>I1, I2</x:v>
      </x:c>
      <x:c r="I178" s="50" t="str">
        <x:f>INDEX('Sources'!$D$6:$D$66,MATCH("I1",'Sources'!$A$6:$A$66,0))&amp;CHAR(10)&amp;INDEX('Sources'!$D$6:$D$66,MATCH("I2",'Sources'!$A$6:$A$66,0))</x:f>
        <x:v>https://kiro.dev/docs/specs/
https://kiro.dev/docs/workflows/</x:v>
      </x:c>
    </x:row>
    <x:row r="179" ht="54" customHeight="1">
      <x:c r="A179" s="22" t="str">
        <x:v>F24</x:v>
      </x:c>
      <x:c r="B179" s="22" t="str">
        <x:v>KIRO</x:v>
      </x:c>
      <x:c r="C179" s="30" t="n">
        <x:f>INDEX('Matrix'!$C$6:$P$35,MATCH(A179,'Matrix'!$A$6:$A$35,0),MATCH(B179,'Matrix'!$C$4:$P$4,0))</x:f>
        <x:v>3</x:v>
      </x:c>
      <x:c r="D179" s="22" t="str">
        <x:v>Reuse and extensibility</x:v>
      </x:c>
      <x:c r="E179" s="22" t="str">
        <x:v>Kiro specs/workflows</x:v>
      </x:c>
      <x:c r="F179" s="22" t="str">
        <x:v>Reusable recipes, ordinary task examples and internal recipe use.</x:v>
      </x:c>
      <x:c r="G179" s="22" t="str">
        <x:v>Published coverage; analyst judgment</x:v>
      </x:c>
      <x:c r="H179" s="22" t="str">
        <x:v>I1, I2, I3</x:v>
      </x:c>
      <x:c r="I179" s="50" t="str">
        <x:f>INDEX('Sources'!$D$6:$D$66,MATCH("I1",'Sources'!$A$6:$A$66,0))&amp;CHAR(10)&amp;INDEX('Sources'!$D$6:$D$66,MATCH("I2",'Sources'!$A$6:$A$66,0))&amp;CHAR(10)&amp;INDEX('Sources'!$D$6:$D$66,MATCH("I3",'Sources'!$A$6:$A$66,0))</x:f>
        <x:v>https://kiro.dev/docs/specs/
https://kiro.dev/docs/workflows/
https://kiro.dev/docs/workflows/authoring/</x:v>
      </x:c>
    </x:row>
    <x:row r="180" ht="54" customHeight="1">
      <x:c r="A180" s="22" t="str">
        <x:v>F25</x:v>
      </x:c>
      <x:c r="B180" s="22" t="str">
        <x:v>KIRO</x:v>
      </x:c>
      <x:c r="C180" s="30" t="n">
        <x:f>INDEX('Matrix'!$C$6:$P$35,MATCH(A180,'Matrix'!$A$6:$A$35,0),MATCH(B180,'Matrix'!$C$4:$P$4,0))</x:f>
        <x:v>2</x:v>
      </x:c>
      <x:c r="D180" s="22" t="str">
        <x:v>Process use beyond software</x:v>
      </x:c>
      <x:c r="E180" s="22" t="str">
        <x:v>Kiro specs/workflows</x:v>
      </x:c>
      <x:c r="F180" s="22" t="str">
        <x:v>Reusable recipes, ordinary task examples and internal recipe use.</x:v>
      </x:c>
      <x:c r="G180" s="22" t="str">
        <x:v>Published coverage; analyst judgment</x:v>
      </x:c>
      <x:c r="H180" s="22" t="str">
        <x:v>I1, I2, I3</x:v>
      </x:c>
      <x:c r="I180" s="50" t="str">
        <x:f>INDEX('Sources'!$D$6:$D$66,MATCH("I1",'Sources'!$A$6:$A$66,0))&amp;CHAR(10)&amp;INDEX('Sources'!$D$6:$D$66,MATCH("I2",'Sources'!$A$6:$A$66,0))&amp;CHAR(10)&amp;INDEX('Sources'!$D$6:$D$66,MATCH("I3",'Sources'!$A$6:$A$66,0))</x:f>
        <x:v>https://kiro.dev/docs/specs/
https://kiro.dev/docs/workflows/
https://kiro.dev/docs/workflows/authoring/</x:v>
      </x:c>
    </x:row>
    <x:row r="181" ht="54" customHeight="1">
      <x:c r="A181" s="22" t="str">
        <x:v>F26</x:v>
      </x:c>
      <x:c r="B181" s="22" t="str">
        <x:v>KIRO</x:v>
      </x:c>
      <x:c r="C181" s="30" t="n">
        <x:f>INDEX('Matrix'!$C$6:$P$35,MATCH(A181,'Matrix'!$A$6:$A$35,0),MATCH(B181,'Matrix'!$C$4:$P$4,0))</x:f>
        <x:v>1</x:v>
      </x:c>
      <x:c r="D181" s="22" t="str">
        <x:v>Self-application</x:v>
      </x:c>
      <x:c r="E181" s="22" t="str">
        <x:v>Kiro specs/workflows</x:v>
      </x:c>
      <x:c r="F181" s="22" t="str">
        <x:v>Vendor documents internally used recipes; complete methodological self-definition is not established.</x:v>
      </x:c>
      <x:c r="G181" s="22" t="str">
        <x:v>Published coverage; analyst judgment</x:v>
      </x:c>
      <x:c r="H181" s="22" t="str">
        <x:v>I1, I2, I3</x:v>
      </x:c>
      <x:c r="I181" s="50" t="str">
        <x:f>INDEX('Sources'!$D$6:$D$66,MATCH("I1",'Sources'!$A$6:$A$66,0))&amp;CHAR(10)&amp;INDEX('Sources'!$D$6:$D$66,MATCH("I2",'Sources'!$A$6:$A$66,0))&amp;CHAR(10)&amp;INDEX('Sources'!$D$6:$D$66,MATCH("I3",'Sources'!$A$6:$A$66,0))</x:f>
        <x:v>https://kiro.dev/docs/specs/
https://kiro.dev/docs/workflows/
https://kiro.dev/docs/workflows/authoring/</x:v>
      </x:c>
    </x:row>
    <x:row r="182" ht="54" customHeight="1">
      <x:c r="A182" s="22" t="str">
        <x:v>F27</x:v>
      </x:c>
      <x:c r="B182" s="22" t="str">
        <x:v>KIRO</x:v>
      </x:c>
      <x:c r="C182" s="30" t="n">
        <x:f>INDEX('Matrix'!$C$6:$P$35,MATCH(A182,'Matrix'!$A$6:$A$35,0),MATCH(B182,'Matrix'!$C$4:$P$4,0))</x:f>
        <x:v>3</x:v>
      </x:c>
      <x:c r="D182" s="22" t="str">
        <x:v>AI-native method representation</x:v>
      </x:c>
      <x:c r="E182" s="22" t="str">
        <x:v>Kiro specs/workflows</x:v>
      </x:c>
      <x:c r="F182" s="22" t="str">
        <x:v>Reusable recipes, ordinary task examples and internal recipe use.</x:v>
      </x:c>
      <x:c r="G182" s="22" t="str">
        <x:v>Published coverage; analyst judgment</x:v>
      </x:c>
      <x:c r="H182" s="22" t="str">
        <x:v>I1, I2, I3</x:v>
      </x:c>
      <x:c r="I182" s="50" t="str">
        <x:f>INDEX('Sources'!$D$6:$D$66,MATCH("I1",'Sources'!$A$6:$A$66,0))&amp;CHAR(10)&amp;INDEX('Sources'!$D$6:$D$66,MATCH("I2",'Sources'!$A$6:$A$66,0))&amp;CHAR(10)&amp;INDEX('Sources'!$D$6:$D$66,MATCH("I3",'Sources'!$A$6:$A$66,0))</x:f>
        <x:v>https://kiro.dev/docs/specs/
https://kiro.dev/docs/workflows/
https://kiro.dev/docs/workflows/authoring/</x:v>
      </x:c>
    </x:row>
    <x:row r="183" ht="54" customHeight="1">
      <x:c r="A183" s="22" t="str">
        <x:v>F28</x:v>
      </x:c>
      <x:c r="B183" s="22" t="str">
        <x:v>KIRO</x:v>
      </x:c>
      <x:c r="C183" s="30" t="n">
        <x:f>INDEX('Matrix'!$C$6:$P$35,MATCH(A183,'Matrix'!$A$6:$A$35,0),MATCH(B183,'Matrix'!$C$4:$P$4,0))</x:f>
        <x:v>3</x:v>
      </x:c>
      <x:c r="D183" s="22" t="str">
        <x:v>Onboarding and reader guidance</x:v>
      </x:c>
      <x:c r="E183" s="22" t="str">
        <x:v>Kiro specs/workflows</x:v>
      </x:c>
      <x:c r="F183" s="22" t="str">
        <x:v>Reusable recipes, ordinary task examples and internal recipe use.</x:v>
      </x:c>
      <x:c r="G183" s="22" t="str">
        <x:v>Published coverage; analyst judgment</x:v>
      </x:c>
      <x:c r="H183" s="22" t="str">
        <x:v>I1, I2, I3</x:v>
      </x:c>
      <x:c r="I183" s="50" t="str">
        <x:f>INDEX('Sources'!$D$6:$D$66,MATCH("I1",'Sources'!$A$6:$A$66,0))&amp;CHAR(10)&amp;INDEX('Sources'!$D$6:$D$66,MATCH("I2",'Sources'!$A$6:$A$66,0))&amp;CHAR(10)&amp;INDEX('Sources'!$D$6:$D$66,MATCH("I3",'Sources'!$A$6:$A$66,0))</x:f>
        <x:v>https://kiro.dev/docs/specs/
https://kiro.dev/docs/workflows/
https://kiro.dev/docs/workflows/authoring/</x:v>
      </x:c>
    </x:row>
    <x:row r="184" ht="54" customHeight="1">
      <x:c r="A184" s="22" t="str">
        <x:v>F29</x:v>
      </x:c>
      <x:c r="B184" s="22" t="str">
        <x:v>KIRO</x:v>
      </x:c>
      <x:c r="C184" s="30" t="n">
        <x:f>INDEX('Matrix'!$C$6:$P$35,MATCH(A184,'Matrix'!$A$6:$A$35,0),MATCH(B184,'Matrix'!$C$4:$P$4,0))</x:f>
        <x:v>1</x:v>
      </x:c>
      <x:c r="D184" s="22" t="str">
        <x:v>Evidence of effectiveness</x:v>
      </x:c>
      <x:c r="E184" s="22" t="str">
        <x:v>Kiro specs/workflows</x:v>
      </x:c>
      <x:c r="F184" s="22" t="str">
        <x:v>Examples/internal use support feasibility; no comparative methodology result.</x:v>
      </x:c>
      <x:c r="G184" s="22" t="str">
        <x:v>Published coverage; analyst judgment</x:v>
      </x:c>
      <x:c r="H184" s="22" t="str">
        <x:v>I1, I2, I3</x:v>
      </x:c>
      <x:c r="I184" s="50" t="str">
        <x:f>INDEX('Sources'!$D$6:$D$66,MATCH("I1",'Sources'!$A$6:$A$66,0))&amp;CHAR(10)&amp;INDEX('Sources'!$D$6:$D$66,MATCH("I2",'Sources'!$A$6:$A$66,0))&amp;CHAR(10)&amp;INDEX('Sources'!$D$6:$D$66,MATCH("I3",'Sources'!$A$6:$A$66,0))</x:f>
        <x:v>https://kiro.dev/docs/specs/
https://kiro.dev/docs/workflows/
https://kiro.dev/docs/workflows/authoring/</x:v>
      </x:c>
    </x:row>
    <x:row r="185" ht="54" customHeight="1">
      <x:c r="A185" s="22" t="str">
        <x:v>F30</x:v>
      </x:c>
      <x:c r="B185" s="22" t="str">
        <x:v>KIRO</x:v>
      </x:c>
      <x:c r="C185" s="30" t="n">
        <x:f>INDEX('Matrix'!$C$6:$P$35,MATCH(A185,'Matrix'!$A$6:$A$35,0),MATCH(B185,'Matrix'!$C$4:$P$4,0))</x:f>
        <x:v>2</x:v>
      </x:c>
      <x:c r="D185" s="22" t="str">
        <x:v>Work and resource measurement</x:v>
      </x:c>
      <x:c r="E185" s="22" t="str">
        <x:v>Kiro specs/workflows</x:v>
      </x:c>
      <x:c r="F185" s="22" t="str">
        <x:v>Documentation exposes increased token cost of coordination and model/step metadata.</x:v>
      </x:c>
      <x:c r="G185" s="22" t="str">
        <x:v>Published coverage; analyst judgment</x:v>
      </x:c>
      <x:c r="H185" s="22" t="str">
        <x:v>I1, I2, I3</x:v>
      </x:c>
      <x:c r="I185" s="50" t="str">
        <x:f>INDEX('Sources'!$D$6:$D$66,MATCH("I1",'Sources'!$A$6:$A$66,0))&amp;CHAR(10)&amp;INDEX('Sources'!$D$6:$D$66,MATCH("I2",'Sources'!$A$6:$A$66,0))&amp;CHAR(10)&amp;INDEX('Sources'!$D$6:$D$66,MATCH("I3",'Sources'!$A$6:$A$66,0))</x:f>
        <x:v>https://kiro.dev/docs/specs/
https://kiro.dev/docs/workflows/
https://kiro.dev/docs/workflows/authoring/</x:v>
      </x:c>
    </x:row>
    <x:row r="186" ht="46.5" customHeight="1">
      <x:c r="A186" s="22" t="str">
        <x:v>F01</x:v>
      </x:c>
      <x:c r="B186" s="22" t="str">
        <x:v>BMAD</x:v>
      </x:c>
      <x:c r="C186" s="30" t="n">
        <x:f>INDEX('Matrix'!$C$6:$P$35,MATCH(A186,'Matrix'!$A$6:$A$35,0),MATCH(B186,'Matrix'!$C$4:$P$4,0))</x:f>
        <x:v>3</x:v>
      </x:c>
      <x:c r="D186" s="22" t="str">
        <x:v>Intent and success criteria</x:v>
      </x:c>
      <x:c r="E186" s="22" t="str">
        <x:v>BMad Method</x:v>
      </x:c>
      <x:c r="F186" s="22" t="str">
        <x:v>Brief/PRD and intent-bound specification connect capability IDs, success signals and stories.</x:v>
      </x:c>
      <x:c r="G186" s="22" t="str">
        <x:v>Published coverage; analyst judgment</x:v>
      </x:c>
      <x:c r="H186" s="22" t="str">
        <x:v>B1, B5</x:v>
      </x:c>
      <x:c r="I186" s="50" t="str">
        <x:f>INDEX('Sources'!$D$6:$D$66,MATCH("B1",'Sources'!$A$6:$A$66,0))&amp;CHAR(10)&amp;INDEX('Sources'!$D$6:$D$66,MATCH("B5",'Sources'!$A$6:$A$66,0))</x:f>
        <x:v>https://docs.bmad-method.org/plan/define-requirements-and-a-specification/
https://docs.bmad-method.org/workflow-map-diagram.html</x:v>
      </x:c>
    </x:row>
    <x:row r="187" ht="46.5" customHeight="1">
      <x:c r="A187" s="22" t="str">
        <x:v>F02</x:v>
      </x:c>
      <x:c r="B187" s="22" t="str">
        <x:v>BMAD</x:v>
      </x:c>
      <x:c r="C187" s="30" t="n">
        <x:f>INDEX('Matrix'!$C$6:$P$35,MATCH(A187,'Matrix'!$A$6:$A$35,0),MATCH(B187,'Matrix'!$C$4:$P$4,0))</x:f>
        <x:v>3</x:v>
      </x:c>
      <x:c r="D187" s="22" t="str">
        <x:v>Product definition and scope</x:v>
      </x:c>
      <x:c r="E187" s="22" t="str">
        <x:v>BMad Method</x:v>
      </x:c>
      <x:c r="F187" s="22" t="str">
        <x:v>Brief/PRD and intent-bound specification connect capability IDs, success signals and stories.</x:v>
      </x:c>
      <x:c r="G187" s="22" t="str">
        <x:v>Published coverage; analyst judgment</x:v>
      </x:c>
      <x:c r="H187" s="22" t="str">
        <x:v>B1, B5</x:v>
      </x:c>
      <x:c r="I187" s="50" t="str">
        <x:f>INDEX('Sources'!$D$6:$D$66,MATCH("B1",'Sources'!$A$6:$A$66,0))&amp;CHAR(10)&amp;INDEX('Sources'!$D$6:$D$66,MATCH("B5",'Sources'!$A$6:$A$66,0))</x:f>
        <x:v>https://docs.bmad-method.org/plan/define-requirements-and-a-specification/
https://docs.bmad-method.org/workflow-map-diagram.html</x:v>
      </x:c>
    </x:row>
    <x:row r="188" ht="46.5" customHeight="1">
      <x:c r="A188" s="22" t="str">
        <x:v>F03</x:v>
      </x:c>
      <x:c r="B188" s="22" t="str">
        <x:v>BMAD</x:v>
      </x:c>
      <x:c r="C188" s="30" t="n">
        <x:f>INDEX('Matrix'!$C$6:$P$35,MATCH(A188,'Matrix'!$A$6:$A$35,0),MATCH(B188,'Matrix'!$C$4:$P$4,0))</x:f>
        <x:v>3</x:v>
      </x:c>
      <x:c r="D188" s="22" t="str">
        <x:v>Requirements before construction</x:v>
      </x:c>
      <x:c r="E188" s="22" t="str">
        <x:v>BMad Method</x:v>
      </x:c>
      <x:c r="F188" s="22" t="str">
        <x:v>Brief/PRD and intent-bound specification connect capability IDs, success signals and stories.</x:v>
      </x:c>
      <x:c r="G188" s="22" t="str">
        <x:v>Published coverage; analyst judgment</x:v>
      </x:c>
      <x:c r="H188" s="22" t="str">
        <x:v>B1, B5</x:v>
      </x:c>
      <x:c r="I188" s="50" t="str">
        <x:f>INDEX('Sources'!$D$6:$D$66,MATCH("B1",'Sources'!$A$6:$A$66,0))&amp;CHAR(10)&amp;INDEX('Sources'!$D$6:$D$66,MATCH("B5",'Sources'!$A$6:$A$66,0))</x:f>
        <x:v>https://docs.bmad-method.org/plan/define-requirements-and-a-specification/
https://docs.bmad-method.org/workflow-map-diagram.html</x:v>
      </x:c>
    </x:row>
    <x:row r="189" ht="46.5" customHeight="1">
      <x:c r="A189" s="22" t="str">
        <x:v>F04</x:v>
      </x:c>
      <x:c r="B189" s="22" t="str">
        <x:v>BMAD</x:v>
      </x:c>
      <x:c r="C189" s="30" t="n">
        <x:f>INDEX('Matrix'!$C$6:$P$35,MATCH(A189,'Matrix'!$A$6:$A$35,0),MATCH(B189,'Matrix'!$C$4:$P$4,0))</x:f>
        <x:v>3</x:v>
      </x:c>
      <x:c r="D189" s="22" t="str">
        <x:v>Design separated from requirements</x:v>
      </x:c>
      <x:c r="E189" s="22" t="str">
        <x:v>BMad Method</x:v>
      </x:c>
      <x:c r="F189" s="22" t="str">
        <x:v>Brief/PRD and intent-bound specification connect capability IDs, success signals and stories.</x:v>
      </x:c>
      <x:c r="G189" s="22" t="str">
        <x:v>Published coverage; analyst judgment</x:v>
      </x:c>
      <x:c r="H189" s="22" t="str">
        <x:v>B1, B5</x:v>
      </x:c>
      <x:c r="I189" s="50" t="str">
        <x:f>INDEX('Sources'!$D$6:$D$66,MATCH("B1",'Sources'!$A$6:$A$66,0))&amp;CHAR(10)&amp;INDEX('Sources'!$D$6:$D$66,MATCH("B5",'Sources'!$A$6:$A$66,0))</x:f>
        <x:v>https://docs.bmad-method.org/plan/define-requirements-and-a-specification/
https://docs.bmad-method.org/workflow-map-diagram.html</x:v>
      </x:c>
    </x:row>
    <x:row r="190" ht="46.5" customHeight="1">
      <x:c r="A190" s="22" t="str">
        <x:v>F05</x:v>
      </x:c>
      <x:c r="B190" s="22" t="str">
        <x:v>BMAD</x:v>
      </x:c>
      <x:c r="C190" s="30" t="n">
        <x:f>INDEX('Matrix'!$C$6:$P$35,MATCH(A190,'Matrix'!$A$6:$A$35,0),MATCH(B190,'Matrix'!$C$4:$P$4,0))</x:f>
        <x:v>3</x:v>
      </x:c>
      <x:c r="D190" s="22" t="str">
        <x:v>Traceability across stages</x:v>
      </x:c>
      <x:c r="E190" s="22" t="str">
        <x:v>BMad Method</x:v>
      </x:c>
      <x:c r="F190" s="22" t="str">
        <x:v>Brief/PRD and intent-bound specification connect capability IDs, success signals and stories.</x:v>
      </x:c>
      <x:c r="G190" s="22" t="str">
        <x:v>Published coverage; analyst judgment</x:v>
      </x:c>
      <x:c r="H190" s="22" t="str">
        <x:v>B1, B5</x:v>
      </x:c>
      <x:c r="I190" s="50" t="str">
        <x:f>INDEX('Sources'!$D$6:$D$66,MATCH("B1",'Sources'!$A$6:$A$66,0))&amp;CHAR(10)&amp;INDEX('Sources'!$D$6:$D$66,MATCH("B5",'Sources'!$A$6:$A$66,0))</x:f>
        <x:v>https://docs.bmad-method.org/plan/define-requirements-and-a-specification/
https://docs.bmad-method.org/workflow-map-diagram.html</x:v>
      </x:c>
    </x:row>
    <x:row r="191" ht="46.5" customHeight="1">
      <x:c r="A191" s="22" t="str">
        <x:v>F06</x:v>
      </x:c>
      <x:c r="B191" s="22" t="str">
        <x:v>BMAD</x:v>
      </x:c>
      <x:c r="C191" s="30" t="n">
        <x:f>INDEX('Matrix'!$C$6:$P$35,MATCH(A191,'Matrix'!$A$6:$A$35,0),MATCH(B191,'Matrix'!$C$4:$P$4,0))</x:f>
        <x:v>2</x:v>
      </x:c>
      <x:c r="D191" s="22" t="str">
        <x:v>Domain concepts and identity</x:v>
      </x:c>
      <x:c r="E191" s="22" t="str">
        <x:v>BMad Method</x:v>
      </x:c>
      <x:c r="F191" s="22" t="str">
        <x:v>Structured contracts, constraints and role outputs; general semantic algebra is not established.</x:v>
      </x:c>
      <x:c r="G191" s="22" t="str">
        <x:v>Published coverage; analyst judgment</x:v>
      </x:c>
      <x:c r="H191" s="22" t="str">
        <x:v>B1, B5</x:v>
      </x:c>
      <x:c r="I191" s="50" t="str">
        <x:f>INDEX('Sources'!$D$6:$D$66,MATCH("B1",'Sources'!$A$6:$A$66,0))&amp;CHAR(10)&amp;INDEX('Sources'!$D$6:$D$66,MATCH("B5",'Sources'!$A$6:$A$66,0))</x:f>
        <x:v>https://docs.bmad-method.org/plan/define-requirements-and-a-specification/
https://docs.bmad-method.org/workflow-map-diagram.html</x:v>
      </x:c>
    </x:row>
    <x:row r="192" ht="46.5" customHeight="1">
      <x:c r="A192" s="22" t="str">
        <x:v>F07</x:v>
      </x:c>
      <x:c r="B192" s="22" t="str">
        <x:v>BMAD</x:v>
      </x:c>
      <x:c r="C192" s="30" t="n">
        <x:f>INDEX('Matrix'!$C$6:$P$35,MATCH(A192,'Matrix'!$A$6:$A$35,0),MATCH(B192,'Matrix'!$C$4:$P$4,0))</x:f>
        <x:v>2</x:v>
      </x:c>
      <x:c r="D192" s="22" t="str">
        <x:v>Explicit inputs, outputs and contracts</x:v>
      </x:c>
      <x:c r="E192" s="22" t="str">
        <x:v>BMad Method</x:v>
      </x:c>
      <x:c r="F192" s="22" t="str">
        <x:v>Structured contracts, constraints and role outputs; general semantic algebra is not established.</x:v>
      </x:c>
      <x:c r="G192" s="22" t="str">
        <x:v>Published coverage; analyst judgment</x:v>
      </x:c>
      <x:c r="H192" s="22" t="str">
        <x:v>B1, B5</x:v>
      </x:c>
      <x:c r="I192" s="50" t="str">
        <x:f>INDEX('Sources'!$D$6:$D$66,MATCH("B1",'Sources'!$A$6:$A$66,0))&amp;CHAR(10)&amp;INDEX('Sources'!$D$6:$D$66,MATCH("B5",'Sources'!$A$6:$A$66,0))</x:f>
        <x:v>https://docs.bmad-method.org/plan/define-requirements-and-a-specification/
https://docs.bmad-method.org/workflow-map-diagram.html</x:v>
      </x:c>
    </x:row>
    <x:row r="193" ht="46.5" customHeight="1">
      <x:c r="A193" s="22" t="str">
        <x:v>F08</x:v>
      </x:c>
      <x:c r="B193" s="22" t="str">
        <x:v>BMAD</x:v>
      </x:c>
      <x:c r="C193" s="30" t="n">
        <x:f>INDEX('Matrix'!$C$6:$P$35,MATCH(A193,'Matrix'!$A$6:$A$35,0),MATCH(B193,'Matrix'!$C$4:$P$4,0))</x:f>
        <x:v>3</x:v>
      </x:c>
      <x:c r="D193" s="22" t="str">
        <x:v>Invariants and semantic constraints</x:v>
      </x:c>
      <x:c r="E193" s="22" t="str">
        <x:v>BMad Method</x:v>
      </x:c>
      <x:c r="F193" s="22" t="str">
        <x:v>Structured contracts, constraints and role outputs; general semantic algebra is not established.</x:v>
      </x:c>
      <x:c r="G193" s="22" t="str">
        <x:v>Published coverage; analyst judgment</x:v>
      </x:c>
      <x:c r="H193" s="22" t="str">
        <x:v>B1, B5</x:v>
      </x:c>
      <x:c r="I193" s="50" t="str">
        <x:f>INDEX('Sources'!$D$6:$D$66,MATCH("B1",'Sources'!$A$6:$A$66,0))&amp;CHAR(10)&amp;INDEX('Sources'!$D$6:$D$66,MATCH("B5",'Sources'!$A$6:$A$66,0))</x:f>
        <x:v>https://docs.bmad-method.org/plan/define-requirements-and-a-specification/
https://docs.bmad-method.org/workflow-map-diagram.html</x:v>
      </x:c>
    </x:row>
    <x:row r="194" ht="46.5" customHeight="1">
      <x:c r="A194" s="22" t="str">
        <x:v>F09</x:v>
      </x:c>
      <x:c r="B194" s="22" t="str">
        <x:v>BMAD</x:v>
      </x:c>
      <x:c r="C194" s="30" t="n">
        <x:f>INDEX('Matrix'!$C$6:$P$35,MATCH(A194,'Matrix'!$A$6:$A$35,0),MATCH(B194,'Matrix'!$C$4:$P$4,0))</x:f>
        <x:v>1</x:v>
      </x:c>
      <x:c r="D194" s="22" t="str">
        <x:v>Composition and formal reasoning</x:v>
      </x:c>
      <x:c r="E194" s="22" t="str">
        <x:v>BMad Method</x:v>
      </x:c>
      <x:c r="F194" s="22" t="str">
        <x:v>Structured contracts, constraints and role outputs; general semantic algebra is not established.</x:v>
      </x:c>
      <x:c r="G194" s="22" t="str">
        <x:v>Published coverage; analyst judgment</x:v>
      </x:c>
      <x:c r="H194" s="22" t="str">
        <x:v>B1, B5</x:v>
      </x:c>
      <x:c r="I194" s="50" t="str">
        <x:f>INDEX('Sources'!$D$6:$D$66,MATCH("B1",'Sources'!$A$6:$A$66,0))&amp;CHAR(10)&amp;INDEX('Sources'!$D$6:$D$66,MATCH("B5",'Sources'!$A$6:$A$66,0))</x:f>
        <x:v>https://docs.bmad-method.org/plan/define-requirements-and-a-specification/
https://docs.bmad-method.org/workflow-map-diagram.html</x:v>
      </x:c>
    </x:row>
    <x:row r="195" ht="54" customHeight="1">
      <x:c r="A195" s="22" t="str">
        <x:v>F10</x:v>
      </x:c>
      <x:c r="B195" s="22" t="str">
        <x:v>BMAD</x:v>
      </x:c>
      <x:c r="C195" s="30" t="n">
        <x:f>INDEX('Matrix'!$C$6:$P$35,MATCH(A195,'Matrix'!$A$6:$A$35,0),MATCH(B195,'Matrix'!$C$4:$P$4,0))</x:f>
        <x:v>3</x:v>
      </x:c>
      <x:c r="D195" s="22" t="str">
        <x:v>Relevant context selection</x:v>
      </x:c>
      <x:c r="E195" s="22" t="str">
        <x:v>BMad Method</x:v>
      </x:c>
      <x:c r="F195" s="22" t="str">
        <x:v>Session-sized units, project-context documents, explicit loops and retained plans.</x:v>
      </x:c>
      <x:c r="G195" s="22" t="str">
        <x:v>Published coverage; analyst judgment</x:v>
      </x:c>
      <x:c r="H195" s="22" t="str">
        <x:v>B3, B4, B5</x:v>
      </x:c>
      <x:c r="I195" s="50" t="str">
        <x:f>INDEX('Sources'!$D$6:$D$66,MATCH("B3",'Sources'!$A$6:$A$66,0))&amp;CHAR(10)&amp;INDEX('Sources'!$D$6:$D$66,MATCH("B4",'Sources'!$A$6:$A$66,0))&amp;CHAR(10)&amp;INDEX('Sources'!$D$6:$D$66,MATCH("B5",'Sources'!$A$6:$A$66,0))</x:f>
        <x:v>https://docs.bmad-method.org/existing-codebases/set-and-maintain-project-context/
https://docs.bmad-method.org/build/autonomous-development-loops/
https://docs.bmad-method.org/workflow-map-diagram.html</x:v>
      </x:c>
    </x:row>
    <x:row r="196" ht="54" customHeight="1">
      <x:c r="A196" s="22" t="str">
        <x:v>F11</x:v>
      </x:c>
      <x:c r="B196" s="22" t="str">
        <x:v>BMAD</x:v>
      </x:c>
      <x:c r="C196" s="30" t="n">
        <x:f>INDEX('Matrix'!$C$6:$P$35,MATCH(A196,'Matrix'!$A$6:$A$35,0),MATCH(B196,'Matrix'!$C$4:$P$4,0))</x:f>
        <x:v>3</x:v>
      </x:c>
      <x:c r="D196" s="22" t="str">
        <x:v>Attention fit and proportionality</x:v>
      </x:c>
      <x:c r="E196" s="22" t="str">
        <x:v>BMad Method</x:v>
      </x:c>
      <x:c r="F196" s="22" t="str">
        <x:v>Session-sized units, project-context documents, explicit loops and retained plans.</x:v>
      </x:c>
      <x:c r="G196" s="22" t="str">
        <x:v>Published coverage; analyst judgment</x:v>
      </x:c>
      <x:c r="H196" s="22" t="str">
        <x:v>B3, B4, B5</x:v>
      </x:c>
      <x:c r="I196" s="50" t="str">
        <x:f>INDEX('Sources'!$D$6:$D$66,MATCH("B3",'Sources'!$A$6:$A$66,0))&amp;CHAR(10)&amp;INDEX('Sources'!$D$6:$D$66,MATCH("B4",'Sources'!$A$6:$A$66,0))&amp;CHAR(10)&amp;INDEX('Sources'!$D$6:$D$66,MATCH("B5",'Sources'!$A$6:$A$66,0))</x:f>
        <x:v>https://docs.bmad-method.org/existing-codebases/set-and-maintain-project-context/
https://docs.bmad-method.org/build/autonomous-development-loops/
https://docs.bmad-method.org/workflow-map-diagram.html</x:v>
      </x:c>
    </x:row>
    <x:row r="197" ht="54" customHeight="1">
      <x:c r="A197" s="22" t="str">
        <x:v>F12</x:v>
      </x:c>
      <x:c r="B197" s="22" t="str">
        <x:v>BMAD</x:v>
      </x:c>
      <x:c r="C197" s="30" t="n">
        <x:f>INDEX('Matrix'!$C$6:$P$35,MATCH(A197,'Matrix'!$A$6:$A$35,0),MATCH(B197,'Matrix'!$C$4:$P$4,0))</x:f>
        <x:v>3</x:v>
      </x:c>
      <x:c r="D197" s="22" t="str">
        <x:v>Bounded probabilistic construction</x:v>
      </x:c>
      <x:c r="E197" s="22" t="str">
        <x:v>BMad Method</x:v>
      </x:c>
      <x:c r="F197" s="22" t="str">
        <x:v>Session-sized units, project-context documents, explicit loops and retained plans.</x:v>
      </x:c>
      <x:c r="G197" s="22" t="str">
        <x:v>Published coverage; analyst judgment</x:v>
      </x:c>
      <x:c r="H197" s="22" t="str">
        <x:v>B3, B4, B5</x:v>
      </x:c>
      <x:c r="I197" s="50" t="str">
        <x:f>INDEX('Sources'!$D$6:$D$66,MATCH("B3",'Sources'!$A$6:$A$66,0))&amp;CHAR(10)&amp;INDEX('Sources'!$D$6:$D$66,MATCH("B4",'Sources'!$A$6:$A$66,0))&amp;CHAR(10)&amp;INDEX('Sources'!$D$6:$D$66,MATCH("B5",'Sources'!$A$6:$A$66,0))</x:f>
        <x:v>https://docs.bmad-method.org/existing-codebases/set-and-maintain-project-context/
https://docs.bmad-method.org/build/autonomous-development-loops/
https://docs.bmad-method.org/workflow-map-diagram.html</x:v>
      </x:c>
    </x:row>
    <x:row r="198" ht="54" customHeight="1">
      <x:c r="A198" s="22" t="str">
        <x:v>F13</x:v>
      </x:c>
      <x:c r="B198" s="22" t="str">
        <x:v>BMAD</x:v>
      </x:c>
      <x:c r="C198" s="30" t="n">
        <x:f>INDEX('Matrix'!$C$6:$P$35,MATCH(A198,'Matrix'!$A$6:$A$35,0),MATCH(B198,'Matrix'!$C$4:$P$4,0))</x:f>
        <x:v>3</x:v>
      </x:c>
      <x:c r="D198" s="22" t="str">
        <x:v>Decomposition and recursive workflows</x:v>
      </x:c>
      <x:c r="E198" s="22" t="str">
        <x:v>BMad Method</x:v>
      </x:c>
      <x:c r="F198" s="22" t="str">
        <x:v>Session-sized units, project-context documents, explicit loops and retained plans.</x:v>
      </x:c>
      <x:c r="G198" s="22" t="str">
        <x:v>Published coverage; analyst judgment</x:v>
      </x:c>
      <x:c r="H198" s="22" t="str">
        <x:v>B3, B4, B5</x:v>
      </x:c>
      <x:c r="I198" s="50" t="str">
        <x:f>INDEX('Sources'!$D$6:$D$66,MATCH("B3",'Sources'!$A$6:$A$66,0))&amp;CHAR(10)&amp;INDEX('Sources'!$D$6:$D$66,MATCH("B4",'Sources'!$A$6:$A$66,0))&amp;CHAR(10)&amp;INDEX('Sources'!$D$6:$D$66,MATCH("B5",'Sources'!$A$6:$A$66,0))</x:f>
        <x:v>https://docs.bmad-method.org/existing-codebases/set-and-maintain-project-context/
https://docs.bmad-method.org/build/autonomous-development-loops/
https://docs.bmad-method.org/workflow-map-diagram.html</x:v>
      </x:c>
    </x:row>
    <x:row r="199" ht="54" customHeight="1">
      <x:c r="A199" s="22" t="str">
        <x:v>F14</x:v>
      </x:c>
      <x:c r="B199" s="22" t="str">
        <x:v>BMAD</x:v>
      </x:c>
      <x:c r="C199" s="30" t="n">
        <x:f>INDEX('Matrix'!$C$6:$P$35,MATCH(A199,'Matrix'!$A$6:$A$35,0),MATCH(B199,'Matrix'!$C$4:$P$4,0))</x:f>
        <x:v>3</x:v>
      </x:c>
      <x:c r="D199" s="22" t="str">
        <x:v>Durable state and resumption</x:v>
      </x:c>
      <x:c r="E199" s="22" t="str">
        <x:v>BMad Method</x:v>
      </x:c>
      <x:c r="F199" s="22" t="str">
        <x:v>Session-sized units, project-context documents, explicit loops and retained plans.</x:v>
      </x:c>
      <x:c r="G199" s="22" t="str">
        <x:v>Published coverage; analyst judgment</x:v>
      </x:c>
      <x:c r="H199" s="22" t="str">
        <x:v>B3, B4, B5</x:v>
      </x:c>
      <x:c r="I199" s="50" t="str">
        <x:f>INDEX('Sources'!$D$6:$D$66,MATCH("B3",'Sources'!$A$6:$A$66,0))&amp;CHAR(10)&amp;INDEX('Sources'!$D$6:$D$66,MATCH("B4",'Sources'!$A$6:$A$66,0))&amp;CHAR(10)&amp;INDEX('Sources'!$D$6:$D$66,MATCH("B5",'Sources'!$A$6:$A$66,0))</x:f>
        <x:v>https://docs.bmad-method.org/existing-codebases/set-and-maintain-project-context/
https://docs.bmad-method.org/build/autonomous-development-loops/
https://docs.bmad-method.org/workflow-map-diagram.html</x:v>
      </x:c>
    </x:row>
    <x:row r="200" ht="54" customHeight="1">
      <x:c r="A200" s="22" t="str">
        <x:v>F15</x:v>
      </x:c>
      <x:c r="B200" s="22" t="str">
        <x:v>BMAD</x:v>
      </x:c>
      <x:c r="C200" s="30" t="n">
        <x:f>INDEX('Matrix'!$C$6:$P$35,MATCH(A200,'Matrix'!$A$6:$A$35,0),MATCH(B200,'Matrix'!$C$4:$P$4,0))</x:f>
        <x:v>3</x:v>
      </x:c>
      <x:c r="D200" s="22" t="str">
        <x:v>Observation and next-action feedback</x:v>
      </x:c>
      <x:c r="E200" s="22" t="str">
        <x:v>BMad Method</x:v>
      </x:c>
      <x:c r="F200" s="22" t="str">
        <x:v>Session-sized units, project-context documents, explicit loops and retained plans.</x:v>
      </x:c>
      <x:c r="G200" s="22" t="str">
        <x:v>Published coverage; analyst judgment</x:v>
      </x:c>
      <x:c r="H200" s="22" t="str">
        <x:v>B3, B4, B5</x:v>
      </x:c>
      <x:c r="I200" s="50" t="str">
        <x:f>INDEX('Sources'!$D$6:$D$66,MATCH("B3",'Sources'!$A$6:$A$66,0))&amp;CHAR(10)&amp;INDEX('Sources'!$D$6:$D$66,MATCH("B4",'Sources'!$A$6:$A$66,0))&amp;CHAR(10)&amp;INDEX('Sources'!$D$6:$D$66,MATCH("B5",'Sources'!$A$6:$A$66,0))</x:f>
        <x:v>https://docs.bmad-method.org/existing-codebases/set-and-maintain-project-context/
https://docs.bmad-method.org/build/autonomous-development-loops/
https://docs.bmad-method.org/workflow-map-diagram.html</x:v>
      </x:c>
    </x:row>
    <x:row r="201" ht="54" customHeight="1">
      <x:c r="A201" s="22" t="str">
        <x:v>F16</x:v>
      </x:c>
      <x:c r="B201" s="22" t="str">
        <x:v>BMAD</x:v>
      </x:c>
      <x:c r="C201" s="30" t="n">
        <x:f>INDEX('Matrix'!$C$6:$P$35,MATCH(A201,'Matrix'!$A$6:$A$35,0),MATCH(B201,'Matrix'!$C$4:$P$4,0))</x:f>
        <x:v>3</x:v>
      </x:c>
      <x:c r="D201" s="22" t="str">
        <x:v>Uncertainty, stops and re-entry</x:v>
      </x:c>
      <x:c r="E201" s="22" t="str">
        <x:v>BMad Method</x:v>
      </x:c>
      <x:c r="F201" s="22" t="str">
        <x:v>Session-sized units, project-context documents, explicit loops and retained plans.</x:v>
      </x:c>
      <x:c r="G201" s="22" t="str">
        <x:v>Published coverage; analyst judgment</x:v>
      </x:c>
      <x:c r="H201" s="22" t="str">
        <x:v>B3, B4, B5</x:v>
      </x:c>
      <x:c r="I201" s="50" t="str">
        <x:f>INDEX('Sources'!$D$6:$D$66,MATCH("B3",'Sources'!$A$6:$A$66,0))&amp;CHAR(10)&amp;INDEX('Sources'!$D$6:$D$66,MATCH("B4",'Sources'!$A$6:$A$66,0))&amp;CHAR(10)&amp;INDEX('Sources'!$D$6:$D$66,MATCH("B5",'Sources'!$A$6:$A$66,0))</x:f>
        <x:v>https://docs.bmad-method.org/existing-codebases/set-and-maintain-project-context/
https://docs.bmad-method.org/build/autonomous-development-loops/
https://docs.bmad-method.org/workflow-map-diagram.html</x:v>
      </x:c>
    </x:row>
    <x:row r="202" ht="46.5" customHeight="1">
      <x:c r="A202" s="22" t="str">
        <x:v>F17</x:v>
      </x:c>
      <x:c r="B202" s="22" t="str">
        <x:v>BMAD</x:v>
      </x:c>
      <x:c r="C202" s="30" t="n">
        <x:f>INDEX('Matrix'!$C$6:$P$35,MATCH(A202,'Matrix'!$A$6:$A$35,0),MATCH(B202,'Matrix'!$C$4:$P$4,0))</x:f>
        <x:v>2</x:v>
      </x:c>
      <x:c r="D202" s="22" t="str">
        <x:v>Permissions and effect boundaries</x:v>
      </x:c>
      <x:c r="E202" s="22" t="str">
        <x:v>BMad Method</x:v>
      </x:c>
      <x:c r="F202" s="22" t="str">
        <x:v>Fresh independent review layers, evidence-based triage and user decisions.</x:v>
      </x:c>
      <x:c r="G202" s="22" t="str">
        <x:v>Published coverage; analyst judgment</x:v>
      </x:c>
      <x:c r="H202" s="22" t="str">
        <x:v>B2, B4</x:v>
      </x:c>
      <x:c r="I202" s="50" t="str">
        <x:f>INDEX('Sources'!$D$6:$D$66,MATCH("B2",'Sources'!$A$6:$A$66,0))&amp;CHAR(10)&amp;INDEX('Sources'!$D$6:$D$66,MATCH("B4",'Sources'!$A$6:$A$66,0))</x:f>
        <x:v>https://docs.bmad-method.org/build/review-a-change/
https://docs.bmad-method.org/build/autonomous-development-loops/</x:v>
      </x:c>
    </x:row>
    <x:row r="203" ht="46.5" customHeight="1">
      <x:c r="A203" s="22" t="str">
        <x:v>F18</x:v>
      </x:c>
      <x:c r="B203" s="22" t="str">
        <x:v>BMAD</x:v>
      </x:c>
      <x:c r="C203" s="30" t="n">
        <x:f>INDEX('Matrix'!$C$6:$P$35,MATCH(A203,'Matrix'!$A$6:$A$35,0),MATCH(B203,'Matrix'!$C$4:$P$4,0))</x:f>
        <x:v>3</x:v>
      </x:c>
      <x:c r="D203" s="22" t="str">
        <x:v>Independent assessment</x:v>
      </x:c>
      <x:c r="E203" s="22" t="str">
        <x:v>BMad Method</x:v>
      </x:c>
      <x:c r="F203" s="22" t="str">
        <x:v>Fresh independent review layers, evidence-based triage and user decisions.</x:v>
      </x:c>
      <x:c r="G203" s="22" t="str">
        <x:v>Published coverage; analyst judgment</x:v>
      </x:c>
      <x:c r="H203" s="22" t="str">
        <x:v>B2, B4</x:v>
      </x:c>
      <x:c r="I203" s="50" t="str">
        <x:f>INDEX('Sources'!$D$6:$D$66,MATCH("B2",'Sources'!$A$6:$A$66,0))&amp;CHAR(10)&amp;INDEX('Sources'!$D$6:$D$66,MATCH("B4",'Sources'!$A$6:$A$66,0))</x:f>
        <x:v>https://docs.bmad-method.org/build/review-a-change/
https://docs.bmad-method.org/build/autonomous-development-loops/</x:v>
      </x:c>
    </x:row>
    <x:row r="204" ht="46.5" customHeight="1">
      <x:c r="A204" s="22" t="str">
        <x:v>F19</x:v>
      </x:c>
      <x:c r="B204" s="22" t="str">
        <x:v>BMAD</x:v>
      </x:c>
      <x:c r="C204" s="30" t="n">
        <x:f>INDEX('Matrix'!$C$6:$P$35,MATCH(A204,'Matrix'!$A$6:$A$35,0),MATCH(B204,'Matrix'!$C$4:$P$4,0))</x:f>
        <x:v>3</x:v>
      </x:c>
      <x:c r="D204" s="22" t="str">
        <x:v>Operational and negative tests</x:v>
      </x:c>
      <x:c r="E204" s="22" t="str">
        <x:v>BMad Method</x:v>
      </x:c>
      <x:c r="F204" s="22" t="str">
        <x:v>Fresh independent review layers, evidence-based triage and user decisions.</x:v>
      </x:c>
      <x:c r="G204" s="22" t="str">
        <x:v>Published coverage; analyst judgment</x:v>
      </x:c>
      <x:c r="H204" s="22" t="str">
        <x:v>B2, B4</x:v>
      </x:c>
      <x:c r="I204" s="50" t="str">
        <x:f>INDEX('Sources'!$D$6:$D$66,MATCH("B2",'Sources'!$A$6:$A$66,0))&amp;CHAR(10)&amp;INDEX('Sources'!$D$6:$D$66,MATCH("B4",'Sources'!$A$6:$A$66,0))</x:f>
        <x:v>https://docs.bmad-method.org/build/review-a-change/
https://docs.bmad-method.org/build/autonomous-development-loops/</x:v>
      </x:c>
    </x:row>
    <x:row r="205" ht="46.5" customHeight="1">
      <x:c r="A205" s="22" t="str">
        <x:v>F20</x:v>
      </x:c>
      <x:c r="B205" s="22" t="str">
        <x:v>BMAD</x:v>
      </x:c>
      <x:c r="C205" s="30" t="n">
        <x:f>INDEX('Matrix'!$C$6:$P$35,MATCH(A205,'Matrix'!$A$6:$A$35,0),MATCH(B205,'Matrix'!$C$4:$P$4,0))</x:f>
        <x:v>2</x:v>
      </x:c>
      <x:c r="D205" s="22" t="str">
        <x:v>Claim and evidence separation</x:v>
      </x:c>
      <x:c r="E205" s="22" t="str">
        <x:v>BMad Method</x:v>
      </x:c>
      <x:c r="F205" s="22" t="str">
        <x:v>Fresh independent review layers, evidence-based triage and user decisions.</x:v>
      </x:c>
      <x:c r="G205" s="22" t="str">
        <x:v>Published coverage; analyst judgment</x:v>
      </x:c>
      <x:c r="H205" s="22" t="str">
        <x:v>B2, B4</x:v>
      </x:c>
      <x:c r="I205" s="50" t="str">
        <x:f>INDEX('Sources'!$D$6:$D$66,MATCH("B2",'Sources'!$A$6:$A$66,0))&amp;CHAR(10)&amp;INDEX('Sources'!$D$6:$D$66,MATCH("B4",'Sources'!$A$6:$A$66,0))</x:f>
        <x:v>https://docs.bmad-method.org/build/review-a-change/
https://docs.bmad-method.org/build/autonomous-development-loops/</x:v>
      </x:c>
    </x:row>
    <x:row r="206" ht="46.5" customHeight="1">
      <x:c r="A206" s="22" t="str">
        <x:v>F21</x:v>
      </x:c>
      <x:c r="B206" s="22" t="str">
        <x:v>BMAD</x:v>
      </x:c>
      <x:c r="C206" s="30" t="n">
        <x:f>INDEX('Matrix'!$C$6:$P$35,MATCH(A206,'Matrix'!$A$6:$A$35,0),MATCH(B206,'Matrix'!$C$4:$P$4,0))</x:f>
        <x:v>3</x:v>
      </x:c>
      <x:c r="D206" s="22" t="str">
        <x:v>Provenance and auditability</x:v>
      </x:c>
      <x:c r="E206" s="22" t="str">
        <x:v>BMad Method</x:v>
      </x:c>
      <x:c r="F206" s="22" t="str">
        <x:v>Fresh independent review layers, evidence-based triage and user decisions.</x:v>
      </x:c>
      <x:c r="G206" s="22" t="str">
        <x:v>Published coverage; analyst judgment</x:v>
      </x:c>
      <x:c r="H206" s="22" t="str">
        <x:v>B2, B4</x:v>
      </x:c>
      <x:c r="I206" s="50" t="str">
        <x:f>INDEX('Sources'!$D$6:$D$66,MATCH("B2",'Sources'!$A$6:$A$66,0))&amp;CHAR(10)&amp;INDEX('Sources'!$D$6:$D$66,MATCH("B4",'Sources'!$A$6:$A$66,0))</x:f>
        <x:v>https://docs.bmad-method.org/build/review-a-change/
https://docs.bmad-method.org/build/autonomous-development-loops/</x:v>
      </x:c>
    </x:row>
    <x:row r="207" ht="46.5" customHeight="1">
      <x:c r="A207" s="22" t="str">
        <x:v>F22</x:v>
      </x:c>
      <x:c r="B207" s="22" t="str">
        <x:v>BMAD</x:v>
      </x:c>
      <x:c r="C207" s="30" t="n">
        <x:f>INDEX('Matrix'!$C$6:$P$35,MATCH(A207,'Matrix'!$A$6:$A$35,0),MATCH(B207,'Matrix'!$C$4:$P$4,0))</x:f>
        <x:v>2</x:v>
      </x:c>
      <x:c r="D207" s="22" t="str">
        <x:v>Change impact and specification revision</x:v>
      </x:c>
      <x:c r="E207" s="22" t="str">
        <x:v>BMad Method</x:v>
      </x:c>
      <x:c r="F207" s="22" t="str">
        <x:v>Stable capability IDs and spec updates preserve revision context; general accepted-result invalidation is not established.</x:v>
      </x:c>
      <x:c r="G207" s="22" t="str">
        <x:v>Published coverage; analyst judgment</x:v>
      </x:c>
      <x:c r="H207" s="22" t="str">
        <x:v>B1, B2</x:v>
      </x:c>
      <x:c r="I207" s="50" t="str">
        <x:f>INDEX('Sources'!$D$6:$D$66,MATCH("B1",'Sources'!$A$6:$A$66,0))&amp;CHAR(10)&amp;INDEX('Sources'!$D$6:$D$66,MATCH("B2",'Sources'!$A$6:$A$66,0))</x:f>
        <x:v>https://docs.bmad-method.org/plan/define-requirements-and-a-specification/
https://docs.bmad-method.org/build/review-a-change/</x:v>
      </x:c>
    </x:row>
    <x:row r="208" ht="46.5" customHeight="1">
      <x:c r="A208" s="22" t="str">
        <x:v>F23</x:v>
      </x:c>
      <x:c r="B208" s="22" t="str">
        <x:v>BMAD</x:v>
      </x:c>
      <x:c r="C208" s="30" t="str">
        <x:f>INDEX('Matrix'!$C$6:$P$35,MATCH(A208,'Matrix'!$A$6:$A$35,0),MATCH(B208,'Matrix'!$C$4:$P$4,0))</x:f>
        <x:v>U</x:v>
      </x:c>
      <x:c r="D208" s="22" t="str">
        <x:v>Versioned release and adoption</x:v>
      </x:c>
      <x:c r="E208" s="22" t="str">
        <x:v>BMad Method</x:v>
      </x:c>
      <x:c r="F208" s="22" t="str">
        <x:v>Ticket closure and review do not establish product release identity, qualification and changed-basis adoption.</x:v>
      </x:c>
      <x:c r="G208" s="22" t="str">
        <x:v>Published coverage; analyst judgment</x:v>
      </x:c>
      <x:c r="H208" s="22" t="str">
        <x:v>B2, B4</x:v>
      </x:c>
      <x:c r="I208" s="50" t="str">
        <x:f>INDEX('Sources'!$D$6:$D$66,MATCH("B2",'Sources'!$A$6:$A$66,0))&amp;CHAR(10)&amp;INDEX('Sources'!$D$6:$D$66,MATCH("B4",'Sources'!$A$6:$A$66,0))</x:f>
        <x:v>https://docs.bmad-method.org/build/review-a-change/
https://docs.bmad-method.org/build/autonomous-development-loops/</x:v>
      </x:c>
    </x:row>
    <x:row r="209" ht="68.25" customHeight="1">
      <x:c r="A209" s="22" t="str">
        <x:v>F24</x:v>
      </x:c>
      <x:c r="B209" s="22" t="str">
        <x:v>BMAD</x:v>
      </x:c>
      <x:c r="C209" s="30" t="n">
        <x:f>INDEX('Matrix'!$C$6:$P$35,MATCH(A209,'Matrix'!$A$6:$A$35,0),MATCH(B209,'Matrix'!$C$4:$P$4,0))</x:f>
        <x:v>3</x:v>
      </x:c>
      <x:c r="D209" s="22" t="str">
        <x:v>Reuse and extensibility</x:v>
      </x:c>
      <x:c r="E209" s="22" t="str">
        <x:v>BMad Method</x:v>
      </x:c>
      <x:c r="F209" s="22" t="str">
        <x:v>Named skills, task entry routes and reusable modules support adoption.</x:v>
      </x:c>
      <x:c r="G209" s="22" t="str">
        <x:v>Published coverage; analyst judgment</x:v>
      </x:c>
      <x:c r="H209" s="22" t="str">
        <x:v>B1, B3, B4, B5</x:v>
      </x:c>
      <x:c r="I209" s="50" t="str">
        <x:f>INDEX('Sources'!$D$6:$D$66,MATCH("B1",'Sources'!$A$6:$A$66,0))&amp;CHAR(10)&amp;INDEX('Sources'!$D$6:$D$66,MATCH("B3",'Sources'!$A$6:$A$66,0))&amp;CHAR(10)&amp;INDEX('Sources'!$D$6:$D$66,MATCH("B4",'Sources'!$A$6:$A$66,0))&amp;CHAR(10)&amp;INDEX('Sources'!$D$6:$D$66,MATCH("B5",'Sources'!$A$6:$A$66,0))</x:f>
        <x:v>https://docs.bmad-method.org/plan/define-requirements-and-a-specification/
https://docs.bmad-method.org/existing-codebases/set-and-maintain-project-context/
https://docs.bmad-method.org/build/autonomous-development-loops/
https://docs.bmad-method.org/workflow-map-diagram.html</x:v>
      </x:c>
    </x:row>
    <x:row r="210" ht="68.25" customHeight="1">
      <x:c r="A210" s="22" t="str">
        <x:v>F25</x:v>
      </x:c>
      <x:c r="B210" s="22" t="str">
        <x:v>BMAD</x:v>
      </x:c>
      <x:c r="C210" s="30" t="n">
        <x:f>INDEX('Matrix'!$C$6:$P$35,MATCH(A210,'Matrix'!$A$6:$A$35,0),MATCH(B210,'Matrix'!$C$4:$P$4,0))</x:f>
        <x:v>2</x:v>
      </x:c>
      <x:c r="D210" s="22" t="str">
        <x:v>Process use beyond software</x:v>
      </x:c>
      <x:c r="E210" s="22" t="str">
        <x:v>BMad Method</x:v>
      </x:c>
      <x:c r="F210" s="22" t="str">
        <x:v>Named skills, task entry routes and reusable modules support adoption.</x:v>
      </x:c>
      <x:c r="G210" s="22" t="str">
        <x:v>Published coverage; analyst judgment</x:v>
      </x:c>
      <x:c r="H210" s="22" t="str">
        <x:v>B1, B3, B4, B5</x:v>
      </x:c>
      <x:c r="I210" s="50" t="str">
        <x:f>INDEX('Sources'!$D$6:$D$66,MATCH("B1",'Sources'!$A$6:$A$66,0))&amp;CHAR(10)&amp;INDEX('Sources'!$D$6:$D$66,MATCH("B3",'Sources'!$A$6:$A$66,0))&amp;CHAR(10)&amp;INDEX('Sources'!$D$6:$D$66,MATCH("B4",'Sources'!$A$6:$A$66,0))&amp;CHAR(10)&amp;INDEX('Sources'!$D$6:$D$66,MATCH("B5",'Sources'!$A$6:$A$66,0))</x:f>
        <x:v>https://docs.bmad-method.org/plan/define-requirements-and-a-specification/
https://docs.bmad-method.org/existing-codebases/set-and-maintain-project-context/
https://docs.bmad-method.org/build/autonomous-development-loops/
https://docs.bmad-method.org/workflow-map-diagram.html</x:v>
      </x:c>
    </x:row>
    <x:row r="211" ht="68.25" customHeight="1">
      <x:c r="A211" s="22" t="str">
        <x:v>F26</x:v>
      </x:c>
      <x:c r="B211" s="22" t="str">
        <x:v>BMAD</x:v>
      </x:c>
      <x:c r="C211" s="30" t="str">
        <x:f>INDEX('Matrix'!$C$6:$P$35,MATCH(A211,'Matrix'!$A$6:$A$35,0),MATCH(B211,'Matrix'!$C$4:$P$4,0))</x:f>
        <x:v>U</x:v>
      </x:c>
      <x:c r="D211" s="22" t="str">
        <x:v>Self-application</x:v>
      </x:c>
      <x:c r="E211" s="22" t="str">
        <x:v>BMad Method</x:v>
      </x:c>
      <x:c r="F211" s="22" t="str">
        <x:v>Inspected sources do not establish qualified methodological self-application.</x:v>
      </x:c>
      <x:c r="G211" s="22" t="str">
        <x:v>Published coverage; analyst judgment</x:v>
      </x:c>
      <x:c r="H211" s="22" t="str">
        <x:v>B1, B3, B4, B5</x:v>
      </x:c>
      <x:c r="I211" s="50" t="str">
        <x:f>INDEX('Sources'!$D$6:$D$66,MATCH("B1",'Sources'!$A$6:$A$66,0))&amp;CHAR(10)&amp;INDEX('Sources'!$D$6:$D$66,MATCH("B3",'Sources'!$A$6:$A$66,0))&amp;CHAR(10)&amp;INDEX('Sources'!$D$6:$D$66,MATCH("B4",'Sources'!$A$6:$A$66,0))&amp;CHAR(10)&amp;INDEX('Sources'!$D$6:$D$66,MATCH("B5",'Sources'!$A$6:$A$66,0))</x:f>
        <x:v>https://docs.bmad-method.org/plan/define-requirements-and-a-specification/
https://docs.bmad-method.org/existing-codebases/set-and-maintain-project-context/
https://docs.bmad-method.org/build/autonomous-development-loops/
https://docs.bmad-method.org/workflow-map-diagram.html</x:v>
      </x:c>
    </x:row>
    <x:row r="212" ht="68.25" customHeight="1">
      <x:c r="A212" s="22" t="str">
        <x:v>F27</x:v>
      </x:c>
      <x:c r="B212" s="22" t="str">
        <x:v>BMAD</x:v>
      </x:c>
      <x:c r="C212" s="30" t="n">
        <x:f>INDEX('Matrix'!$C$6:$P$35,MATCH(A212,'Matrix'!$A$6:$A$35,0),MATCH(B212,'Matrix'!$C$4:$P$4,0))</x:f>
        <x:v>3</x:v>
      </x:c>
      <x:c r="D212" s="22" t="str">
        <x:v>AI-native method representation</x:v>
      </x:c>
      <x:c r="E212" s="22" t="str">
        <x:v>BMad Method</x:v>
      </x:c>
      <x:c r="F212" s="22" t="str">
        <x:v>Named skills, task entry routes and reusable modules support adoption.</x:v>
      </x:c>
      <x:c r="G212" s="22" t="str">
        <x:v>Published coverage; analyst judgment</x:v>
      </x:c>
      <x:c r="H212" s="22" t="str">
        <x:v>B1, B3, B4, B5</x:v>
      </x:c>
      <x:c r="I212" s="50" t="str">
        <x:f>INDEX('Sources'!$D$6:$D$66,MATCH("B1",'Sources'!$A$6:$A$66,0))&amp;CHAR(10)&amp;INDEX('Sources'!$D$6:$D$66,MATCH("B3",'Sources'!$A$6:$A$66,0))&amp;CHAR(10)&amp;INDEX('Sources'!$D$6:$D$66,MATCH("B4",'Sources'!$A$6:$A$66,0))&amp;CHAR(10)&amp;INDEX('Sources'!$D$6:$D$66,MATCH("B5",'Sources'!$A$6:$A$66,0))</x:f>
        <x:v>https://docs.bmad-method.org/plan/define-requirements-and-a-specification/
https://docs.bmad-method.org/existing-codebases/set-and-maintain-project-context/
https://docs.bmad-method.org/build/autonomous-development-loops/
https://docs.bmad-method.org/workflow-map-diagram.html</x:v>
      </x:c>
    </x:row>
    <x:row r="213" ht="68.25" customHeight="1">
      <x:c r="A213" s="22" t="str">
        <x:v>F28</x:v>
      </x:c>
      <x:c r="B213" s="22" t="str">
        <x:v>BMAD</x:v>
      </x:c>
      <x:c r="C213" s="30" t="n">
        <x:f>INDEX('Matrix'!$C$6:$P$35,MATCH(A213,'Matrix'!$A$6:$A$35,0),MATCH(B213,'Matrix'!$C$4:$P$4,0))</x:f>
        <x:v>3</x:v>
      </x:c>
      <x:c r="D213" s="22" t="str">
        <x:v>Onboarding and reader guidance</x:v>
      </x:c>
      <x:c r="E213" s="22" t="str">
        <x:v>BMad Method</x:v>
      </x:c>
      <x:c r="F213" s="22" t="str">
        <x:v>Named skills, task entry routes and reusable modules support adoption.</x:v>
      </x:c>
      <x:c r="G213" s="22" t="str">
        <x:v>Published coverage; analyst judgment</x:v>
      </x:c>
      <x:c r="H213" s="22" t="str">
        <x:v>B1, B3, B4, B5</x:v>
      </x:c>
      <x:c r="I213" s="50" t="str">
        <x:f>INDEX('Sources'!$D$6:$D$66,MATCH("B1",'Sources'!$A$6:$A$66,0))&amp;CHAR(10)&amp;INDEX('Sources'!$D$6:$D$66,MATCH("B3",'Sources'!$A$6:$A$66,0))&amp;CHAR(10)&amp;INDEX('Sources'!$D$6:$D$66,MATCH("B4",'Sources'!$A$6:$A$66,0))&amp;CHAR(10)&amp;INDEX('Sources'!$D$6:$D$66,MATCH("B5",'Sources'!$A$6:$A$66,0))</x:f>
        <x:v>https://docs.bmad-method.org/plan/define-requirements-and-a-specification/
https://docs.bmad-method.org/existing-codebases/set-and-maintain-project-context/
https://docs.bmad-method.org/build/autonomous-development-loops/
https://docs.bmad-method.org/workflow-map-diagram.html</x:v>
      </x:c>
    </x:row>
    <x:row r="214" ht="68.25" customHeight="1">
      <x:c r="A214" s="22" t="str">
        <x:v>F29</x:v>
      </x:c>
      <x:c r="B214" s="22" t="str">
        <x:v>BMAD</x:v>
      </x:c>
      <x:c r="C214" s="30" t="n">
        <x:f>INDEX('Matrix'!$C$6:$P$35,MATCH(A214,'Matrix'!$A$6:$A$35,0),MATCH(B214,'Matrix'!$C$4:$P$4,0))</x:f>
        <x:v>1</x:v>
      </x:c>
      <x:c r="D214" s="22" t="str">
        <x:v>Evidence of effectiveness</x:v>
      </x:c>
      <x:c r="E214" s="22" t="str">
        <x:v>BMad Method</x:v>
      </x:c>
      <x:c r="F214" s="22" t="str">
        <x:v>Worked workflows support practical use; controlled process effectiveness not established.</x:v>
      </x:c>
      <x:c r="G214" s="22" t="str">
        <x:v>Published coverage; analyst judgment</x:v>
      </x:c>
      <x:c r="H214" s="22" t="str">
        <x:v>B1, B3, B4, B5</x:v>
      </x:c>
      <x:c r="I214" s="50" t="str">
        <x:f>INDEX('Sources'!$D$6:$D$66,MATCH("B1",'Sources'!$A$6:$A$66,0))&amp;CHAR(10)&amp;INDEX('Sources'!$D$6:$D$66,MATCH("B3",'Sources'!$A$6:$A$66,0))&amp;CHAR(10)&amp;INDEX('Sources'!$D$6:$D$66,MATCH("B4",'Sources'!$A$6:$A$66,0))&amp;CHAR(10)&amp;INDEX('Sources'!$D$6:$D$66,MATCH("B5",'Sources'!$A$6:$A$66,0))</x:f>
        <x:v>https://docs.bmad-method.org/plan/define-requirements-and-a-specification/
https://docs.bmad-method.org/existing-codebases/set-and-maintain-project-context/
https://docs.bmad-method.org/build/autonomous-development-loops/
https://docs.bmad-method.org/workflow-map-diagram.html</x:v>
      </x:c>
    </x:row>
    <x:row r="215" ht="68.25" customHeight="1">
      <x:c r="A215" s="22" t="str">
        <x:v>F30</x:v>
      </x:c>
      <x:c r="B215" s="22" t="str">
        <x:v>BMAD</x:v>
      </x:c>
      <x:c r="C215" s="30" t="n">
        <x:f>INDEX('Matrix'!$C$6:$P$35,MATCH(A215,'Matrix'!$A$6:$A$35,0),MATCH(B215,'Matrix'!$C$4:$P$4,0))</x:f>
        <x:v>1</x:v>
      </x:c>
      <x:c r="D215" s="22" t="str">
        <x:v>Work and resource measurement</x:v>
      </x:c>
      <x:c r="E215" s="22" t="str">
        <x:v>BMad Method</x:v>
      </x:c>
      <x:c r="F215" s="22" t="str">
        <x:v>Cost rationale is published; it is not measured comparative method cost.</x:v>
      </x:c>
      <x:c r="G215" s="22" t="str">
        <x:v>Published coverage; analyst judgment</x:v>
      </x:c>
      <x:c r="H215" s="22" t="str">
        <x:v>B1, B3, B4, B5</x:v>
      </x:c>
      <x:c r="I215" s="50" t="str">
        <x:f>INDEX('Sources'!$D$6:$D$66,MATCH("B1",'Sources'!$A$6:$A$66,0))&amp;CHAR(10)&amp;INDEX('Sources'!$D$6:$D$66,MATCH("B3",'Sources'!$A$6:$A$66,0))&amp;CHAR(10)&amp;INDEX('Sources'!$D$6:$D$66,MATCH("B4",'Sources'!$A$6:$A$66,0))&amp;CHAR(10)&amp;INDEX('Sources'!$D$6:$D$66,MATCH("B5",'Sources'!$A$6:$A$66,0))</x:f>
        <x:v>https://docs.bmad-method.org/plan/define-requirements-and-a-specification/
https://docs.bmad-method.org/existing-codebases/set-and-maintain-project-context/
https://docs.bmad-method.org/build/autonomous-development-loops/
https://docs.bmad-method.org/workflow-map-diagram.html</x:v>
      </x:c>
    </x:row>
    <x:row r="216" ht="54" customHeight="1">
      <x:c r="A216" s="22" t="str">
        <x:v>F01</x:v>
      </x:c>
      <x:c r="B216" s="22" t="str">
        <x:v>OPENSPEC</x:v>
      </x:c>
      <x:c r="C216" s="30" t="n">
        <x:f>INDEX('Matrix'!$C$6:$P$35,MATCH(A216,'Matrix'!$A$6:$A$35,0),MATCH(B216,'Matrix'!$C$4:$P$4,0))</x:f>
        <x:v>3</x:v>
      </x:c>
      <x:c r="D216" s="22" t="str">
        <x:v>Intent and success criteria</x:v>
      </x:c>
      <x:c r="E216" s="22" t="str">
        <x:v>OpenSpec / OPSX</x:v>
      </x:c>
      <x:c r="F216" s="22" t="str">
        <x:v>Proposal, requirements/scenarios, design and task artifacts guide each change.</x:v>
      </x:c>
      <x:c r="G216" s="22" t="str">
        <x:v>Published coverage; analyst judgment</x:v>
      </x:c>
      <x:c r="H216" s="22" t="str">
        <x:v>P1, P2, P3</x:v>
      </x:c>
      <x:c r="I216" s="50" t="str">
        <x:f>INDEX('Sources'!$D$6:$D$66,MATCH("P1",'Sources'!$A$6:$A$66,0))&amp;CHAR(10)&amp;INDEX('Sources'!$D$6:$D$66,MATCH("P2",'Sources'!$A$6:$A$66,0))&amp;CHAR(10)&amp;INDEX('Sources'!$D$6:$D$66,MATCH("P3",'Sources'!$A$6:$A$66,0))</x:f>
        <x:v>https://openspec.dev/
https://github.com/Fission-AI/OpenSpec
https://raw.githubusercontent.com/Fission-AI/OpenSpec/main/docs/opsx.md</x:v>
      </x:c>
    </x:row>
    <x:row r="217" ht="54" customHeight="1">
      <x:c r="A217" s="22" t="str">
        <x:v>F02</x:v>
      </x:c>
      <x:c r="B217" s="22" t="str">
        <x:v>OPENSPEC</x:v>
      </x:c>
      <x:c r="C217" s="30" t="n">
        <x:f>INDEX('Matrix'!$C$6:$P$35,MATCH(A217,'Matrix'!$A$6:$A$35,0),MATCH(B217,'Matrix'!$C$4:$P$4,0))</x:f>
        <x:v>2</x:v>
      </x:c>
      <x:c r="D217" s="22" t="str">
        <x:v>Product definition and scope</x:v>
      </x:c>
      <x:c r="E217" s="22" t="str">
        <x:v>OpenSpec / OPSX</x:v>
      </x:c>
      <x:c r="F217" s="22" t="str">
        <x:v>Proposal, requirements/scenarios, design and task artifacts guide each change.</x:v>
      </x:c>
      <x:c r="G217" s="22" t="str">
        <x:v>Published coverage; analyst judgment</x:v>
      </x:c>
      <x:c r="H217" s="22" t="str">
        <x:v>P1, P2, P3</x:v>
      </x:c>
      <x:c r="I217" s="50" t="str">
        <x:f>INDEX('Sources'!$D$6:$D$66,MATCH("P1",'Sources'!$A$6:$A$66,0))&amp;CHAR(10)&amp;INDEX('Sources'!$D$6:$D$66,MATCH("P2",'Sources'!$A$6:$A$66,0))&amp;CHAR(10)&amp;INDEX('Sources'!$D$6:$D$66,MATCH("P3",'Sources'!$A$6:$A$66,0))</x:f>
        <x:v>https://openspec.dev/
https://github.com/Fission-AI/OpenSpec
https://raw.githubusercontent.com/Fission-AI/OpenSpec/main/docs/opsx.md</x:v>
      </x:c>
    </x:row>
    <x:row r="218" ht="54" customHeight="1">
      <x:c r="A218" s="22" t="str">
        <x:v>F03</x:v>
      </x:c>
      <x:c r="B218" s="22" t="str">
        <x:v>OPENSPEC</x:v>
      </x:c>
      <x:c r="C218" s="30" t="n">
        <x:f>INDEX('Matrix'!$C$6:$P$35,MATCH(A218,'Matrix'!$A$6:$A$35,0),MATCH(B218,'Matrix'!$C$4:$P$4,0))</x:f>
        <x:v>3</x:v>
      </x:c>
      <x:c r="D218" s="22" t="str">
        <x:v>Requirements before construction</x:v>
      </x:c>
      <x:c r="E218" s="22" t="str">
        <x:v>OpenSpec / OPSX</x:v>
      </x:c>
      <x:c r="F218" s="22" t="str">
        <x:v>Proposal, requirements/scenarios, design and task artifacts guide each change.</x:v>
      </x:c>
      <x:c r="G218" s="22" t="str">
        <x:v>Published coverage; analyst judgment</x:v>
      </x:c>
      <x:c r="H218" s="22" t="str">
        <x:v>P1, P2, P3</x:v>
      </x:c>
      <x:c r="I218" s="50" t="str">
        <x:f>INDEX('Sources'!$D$6:$D$66,MATCH("P1",'Sources'!$A$6:$A$66,0))&amp;CHAR(10)&amp;INDEX('Sources'!$D$6:$D$66,MATCH("P2",'Sources'!$A$6:$A$66,0))&amp;CHAR(10)&amp;INDEX('Sources'!$D$6:$D$66,MATCH("P3",'Sources'!$A$6:$A$66,0))</x:f>
        <x:v>https://openspec.dev/
https://github.com/Fission-AI/OpenSpec
https://raw.githubusercontent.com/Fission-AI/OpenSpec/main/docs/opsx.md</x:v>
      </x:c>
    </x:row>
    <x:row r="219" ht="54" customHeight="1">
      <x:c r="A219" s="22" t="str">
        <x:v>F04</x:v>
      </x:c>
      <x:c r="B219" s="22" t="str">
        <x:v>OPENSPEC</x:v>
      </x:c>
      <x:c r="C219" s="30" t="n">
        <x:f>INDEX('Matrix'!$C$6:$P$35,MATCH(A219,'Matrix'!$A$6:$A$35,0),MATCH(B219,'Matrix'!$C$4:$P$4,0))</x:f>
        <x:v>3</x:v>
      </x:c>
      <x:c r="D219" s="22" t="str">
        <x:v>Design separated from requirements</x:v>
      </x:c>
      <x:c r="E219" s="22" t="str">
        <x:v>OpenSpec / OPSX</x:v>
      </x:c>
      <x:c r="F219" s="22" t="str">
        <x:v>Proposal, requirements/scenarios, design and task artifacts guide each change.</x:v>
      </x:c>
      <x:c r="G219" s="22" t="str">
        <x:v>Published coverage; analyst judgment</x:v>
      </x:c>
      <x:c r="H219" s="22" t="str">
        <x:v>P1, P2, P3</x:v>
      </x:c>
      <x:c r="I219" s="50" t="str">
        <x:f>INDEX('Sources'!$D$6:$D$66,MATCH("P1",'Sources'!$A$6:$A$66,0))&amp;CHAR(10)&amp;INDEX('Sources'!$D$6:$D$66,MATCH("P2",'Sources'!$A$6:$A$66,0))&amp;CHAR(10)&amp;INDEX('Sources'!$D$6:$D$66,MATCH("P3",'Sources'!$A$6:$A$66,0))</x:f>
        <x:v>https://openspec.dev/
https://github.com/Fission-AI/OpenSpec
https://raw.githubusercontent.com/Fission-AI/OpenSpec/main/docs/opsx.md</x:v>
      </x:c>
    </x:row>
    <x:row r="220" ht="54" customHeight="1">
      <x:c r="A220" s="22" t="str">
        <x:v>F05</x:v>
      </x:c>
      <x:c r="B220" s="22" t="str">
        <x:v>OPENSPEC</x:v>
      </x:c>
      <x:c r="C220" s="30" t="n">
        <x:f>INDEX('Matrix'!$C$6:$P$35,MATCH(A220,'Matrix'!$A$6:$A$35,0),MATCH(B220,'Matrix'!$C$4:$P$4,0))</x:f>
        <x:v>3</x:v>
      </x:c>
      <x:c r="D220" s="22" t="str">
        <x:v>Traceability across stages</x:v>
      </x:c>
      <x:c r="E220" s="22" t="str">
        <x:v>OpenSpec / OPSX</x:v>
      </x:c>
      <x:c r="F220" s="22" t="str">
        <x:v>Proposal, requirements/scenarios, design and task artifacts guide each change.</x:v>
      </x:c>
      <x:c r="G220" s="22" t="str">
        <x:v>Published coverage; analyst judgment</x:v>
      </x:c>
      <x:c r="H220" s="22" t="str">
        <x:v>P1, P2, P3</x:v>
      </x:c>
      <x:c r="I220" s="50" t="str">
        <x:f>INDEX('Sources'!$D$6:$D$66,MATCH("P1",'Sources'!$A$6:$A$66,0))&amp;CHAR(10)&amp;INDEX('Sources'!$D$6:$D$66,MATCH("P2",'Sources'!$A$6:$A$66,0))&amp;CHAR(10)&amp;INDEX('Sources'!$D$6:$D$66,MATCH("P3",'Sources'!$A$6:$A$66,0))</x:f>
        <x:v>https://openspec.dev/
https://github.com/Fission-AI/OpenSpec
https://raw.githubusercontent.com/Fission-AI/OpenSpec/main/docs/opsx.md</x:v>
      </x:c>
    </x:row>
    <x:row r="221" ht="46.5" customHeight="1">
      <x:c r="A221" s="22" t="str">
        <x:v>F06</x:v>
      </x:c>
      <x:c r="B221" s="22" t="str">
        <x:v>OPENSPEC</x:v>
      </x:c>
      <x:c r="C221" s="30" t="n">
        <x:f>INDEX('Matrix'!$C$6:$P$35,MATCH(A221,'Matrix'!$A$6:$A$35,0),MATCH(B221,'Matrix'!$C$4:$P$4,0))</x:f>
        <x:v>2</x:v>
      </x:c>
      <x:c r="D221" s="22" t="str">
        <x:v>Domain concepts and identity</x:v>
      </x:c>
      <x:c r="E221" s="22" t="str">
        <x:v>OpenSpec / OPSX</x:v>
      </x:c>
      <x:c r="F221" s="22" t="str">
        <x:v>Configurable schemas declare artifact dependencies and scoped instructions.</x:v>
      </x:c>
      <x:c r="G221" s="22" t="str">
        <x:v>Published coverage; analyst judgment</x:v>
      </x:c>
      <x:c r="H221" s="22" t="str">
        <x:v>P3, P4</x:v>
      </x:c>
      <x:c r="I221" s="50" t="str">
        <x:f>INDEX('Sources'!$D$6:$D$66,MATCH("P3",'Sources'!$A$6:$A$66,0))&amp;CHAR(10)&amp;INDEX('Sources'!$D$6:$D$66,MATCH("P4",'Sources'!$A$6:$A$66,0))</x:f>
        <x:v>https://raw.githubusercontent.com/Fission-AI/OpenSpec/main/docs/opsx.md
https://raw.githubusercontent.com/Fission-AI/OpenSpec/main/docs/workflows.md</x:v>
      </x:c>
    </x:row>
    <x:row r="222" ht="46.5" customHeight="1">
      <x:c r="A222" s="22" t="str">
        <x:v>F07</x:v>
      </x:c>
      <x:c r="B222" s="22" t="str">
        <x:v>OPENSPEC</x:v>
      </x:c>
      <x:c r="C222" s="30" t="n">
        <x:f>INDEX('Matrix'!$C$6:$P$35,MATCH(A222,'Matrix'!$A$6:$A$35,0),MATCH(B222,'Matrix'!$C$4:$P$4,0))</x:f>
        <x:v>2</x:v>
      </x:c>
      <x:c r="D222" s="22" t="str">
        <x:v>Explicit inputs, outputs and contracts</x:v>
      </x:c>
      <x:c r="E222" s="22" t="str">
        <x:v>OpenSpec / OPSX</x:v>
      </x:c>
      <x:c r="F222" s="22" t="str">
        <x:v>Configurable schemas declare artifact dependencies and scoped instructions.</x:v>
      </x:c>
      <x:c r="G222" s="22" t="str">
        <x:v>Published coverage; analyst judgment</x:v>
      </x:c>
      <x:c r="H222" s="22" t="str">
        <x:v>P3, P4</x:v>
      </x:c>
      <x:c r="I222" s="50" t="str">
        <x:f>INDEX('Sources'!$D$6:$D$66,MATCH("P3",'Sources'!$A$6:$A$66,0))&amp;CHAR(10)&amp;INDEX('Sources'!$D$6:$D$66,MATCH("P4",'Sources'!$A$6:$A$66,0))</x:f>
        <x:v>https://raw.githubusercontent.com/Fission-AI/OpenSpec/main/docs/opsx.md
https://raw.githubusercontent.com/Fission-AI/OpenSpec/main/docs/workflows.md</x:v>
      </x:c>
    </x:row>
    <x:row r="223" ht="46.5" customHeight="1">
      <x:c r="A223" s="22" t="str">
        <x:v>F08</x:v>
      </x:c>
      <x:c r="B223" s="22" t="str">
        <x:v>OPENSPEC</x:v>
      </x:c>
      <x:c r="C223" s="30" t="n">
        <x:f>INDEX('Matrix'!$C$6:$P$35,MATCH(A223,'Matrix'!$A$6:$A$35,0),MATCH(B223,'Matrix'!$C$4:$P$4,0))</x:f>
        <x:v>3</x:v>
      </x:c>
      <x:c r="D223" s="22" t="str">
        <x:v>Invariants and semantic constraints</x:v>
      </x:c>
      <x:c r="E223" s="22" t="str">
        <x:v>OpenSpec / OPSX</x:v>
      </x:c>
      <x:c r="F223" s="22" t="str">
        <x:v>Configurable schemas declare artifact dependencies and scoped instructions.</x:v>
      </x:c>
      <x:c r="G223" s="22" t="str">
        <x:v>Published coverage; analyst judgment</x:v>
      </x:c>
      <x:c r="H223" s="22" t="str">
        <x:v>P3, P4</x:v>
      </x:c>
      <x:c r="I223" s="50" t="str">
        <x:f>INDEX('Sources'!$D$6:$D$66,MATCH("P3",'Sources'!$A$6:$A$66,0))&amp;CHAR(10)&amp;INDEX('Sources'!$D$6:$D$66,MATCH("P4",'Sources'!$A$6:$A$66,0))</x:f>
        <x:v>https://raw.githubusercontent.com/Fission-AI/OpenSpec/main/docs/opsx.md
https://raw.githubusercontent.com/Fission-AI/OpenSpec/main/docs/workflows.md</x:v>
      </x:c>
    </x:row>
    <x:row r="224" ht="46.5" customHeight="1">
      <x:c r="A224" s="22" t="str">
        <x:v>F09</x:v>
      </x:c>
      <x:c r="B224" s="22" t="str">
        <x:v>OPENSPEC</x:v>
      </x:c>
      <x:c r="C224" s="30" t="n">
        <x:f>INDEX('Matrix'!$C$6:$P$35,MATCH(A224,'Matrix'!$A$6:$A$35,0),MATCH(B224,'Matrix'!$C$4:$P$4,0))</x:f>
        <x:v>2</x:v>
      </x:c>
      <x:c r="D224" s="22" t="str">
        <x:v>Composition and formal reasoning</x:v>
      </x:c>
      <x:c r="E224" s="22" t="str">
        <x:v>OpenSpec / OPSX</x:v>
      </x:c>
      <x:c r="F224" s="22" t="str">
        <x:v>Configurable schemas declare artifact dependencies and scoped instructions.</x:v>
      </x:c>
      <x:c r="G224" s="22" t="str">
        <x:v>Published coverage; analyst judgment</x:v>
      </x:c>
      <x:c r="H224" s="22" t="str">
        <x:v>P3, P4</x:v>
      </x:c>
      <x:c r="I224" s="50" t="str">
        <x:f>INDEX('Sources'!$D$6:$D$66,MATCH("P3",'Sources'!$A$6:$A$66,0))&amp;CHAR(10)&amp;INDEX('Sources'!$D$6:$D$66,MATCH("P4",'Sources'!$A$6:$A$66,0))</x:f>
        <x:v>https://raw.githubusercontent.com/Fission-AI/OpenSpec/main/docs/opsx.md
https://raw.githubusercontent.com/Fission-AI/OpenSpec/main/docs/workflows.md</x:v>
      </x:c>
    </x:row>
    <x:row r="225" ht="46.5" customHeight="1">
      <x:c r="A225" s="22" t="str">
        <x:v>F10</x:v>
      </x:c>
      <x:c r="B225" s="22" t="str">
        <x:v>OPENSPEC</x:v>
      </x:c>
      <x:c r="C225" s="30" t="n">
        <x:f>INDEX('Matrix'!$C$6:$P$35,MATCH(A225,'Matrix'!$A$6:$A$35,0),MATCH(B225,'Matrix'!$C$4:$P$4,0))</x:f>
        <x:v>3</x:v>
      </x:c>
      <x:c r="D225" s="22" t="str">
        <x:v>Relevant context selection</x:v>
      </x:c>
      <x:c r="E225" s="22" t="str">
        <x:v>OpenSpec / OPSX</x:v>
      </x:c>
      <x:c r="F225" s="22" t="str">
        <x:v>Persistent artifact state and granular actions support iterative bounded changes.</x:v>
      </x:c>
      <x:c r="G225" s="22" t="str">
        <x:v>Published coverage; analyst judgment</x:v>
      </x:c>
      <x:c r="H225" s="22" t="str">
        <x:v>P3, P4</x:v>
      </x:c>
      <x:c r="I225" s="50" t="str">
        <x:f>INDEX('Sources'!$D$6:$D$66,MATCH("P3",'Sources'!$A$6:$A$66,0))&amp;CHAR(10)&amp;INDEX('Sources'!$D$6:$D$66,MATCH("P4",'Sources'!$A$6:$A$66,0))</x:f>
        <x:v>https://raw.githubusercontent.com/Fission-AI/OpenSpec/main/docs/opsx.md
https://raw.githubusercontent.com/Fission-AI/OpenSpec/main/docs/workflows.md</x:v>
      </x:c>
    </x:row>
    <x:row r="226" ht="46.5" customHeight="1">
      <x:c r="A226" s="22" t="str">
        <x:v>F11</x:v>
      </x:c>
      <x:c r="B226" s="22" t="str">
        <x:v>OPENSPEC</x:v>
      </x:c>
      <x:c r="C226" s="30" t="n">
        <x:f>INDEX('Matrix'!$C$6:$P$35,MATCH(A226,'Matrix'!$A$6:$A$35,0),MATCH(B226,'Matrix'!$C$4:$P$4,0))</x:f>
        <x:v>2</x:v>
      </x:c>
      <x:c r="D226" s="22" t="str">
        <x:v>Attention fit and proportionality</x:v>
      </x:c>
      <x:c r="E226" s="22" t="str">
        <x:v>OpenSpec / OPSX</x:v>
      </x:c>
      <x:c r="F226" s="22" t="str">
        <x:v>Persistent artifact state and granular actions support iterative bounded changes.</x:v>
      </x:c>
      <x:c r="G226" s="22" t="str">
        <x:v>Published coverage; analyst judgment</x:v>
      </x:c>
      <x:c r="H226" s="22" t="str">
        <x:v>P3, P4</x:v>
      </x:c>
      <x:c r="I226" s="50" t="str">
        <x:f>INDEX('Sources'!$D$6:$D$66,MATCH("P3",'Sources'!$A$6:$A$66,0))&amp;CHAR(10)&amp;INDEX('Sources'!$D$6:$D$66,MATCH("P4",'Sources'!$A$6:$A$66,0))</x:f>
        <x:v>https://raw.githubusercontent.com/Fission-AI/OpenSpec/main/docs/opsx.md
https://raw.githubusercontent.com/Fission-AI/OpenSpec/main/docs/workflows.md</x:v>
      </x:c>
    </x:row>
    <x:row r="227" ht="46.5" customHeight="1">
      <x:c r="A227" s="22" t="str">
        <x:v>F12</x:v>
      </x:c>
      <x:c r="B227" s="22" t="str">
        <x:v>OPENSPEC</x:v>
      </x:c>
      <x:c r="C227" s="30" t="n">
        <x:f>INDEX('Matrix'!$C$6:$P$35,MATCH(A227,'Matrix'!$A$6:$A$35,0),MATCH(B227,'Matrix'!$C$4:$P$4,0))</x:f>
        <x:v>3</x:v>
      </x:c>
      <x:c r="D227" s="22" t="str">
        <x:v>Bounded probabilistic construction</x:v>
      </x:c>
      <x:c r="E227" s="22" t="str">
        <x:v>OpenSpec / OPSX</x:v>
      </x:c>
      <x:c r="F227" s="22" t="str">
        <x:v>Persistent artifact state and granular actions support iterative bounded changes.</x:v>
      </x:c>
      <x:c r="G227" s="22" t="str">
        <x:v>Published coverage; analyst judgment</x:v>
      </x:c>
      <x:c r="H227" s="22" t="str">
        <x:v>P3, P4</x:v>
      </x:c>
      <x:c r="I227" s="50" t="str">
        <x:f>INDEX('Sources'!$D$6:$D$66,MATCH("P3",'Sources'!$A$6:$A$66,0))&amp;CHAR(10)&amp;INDEX('Sources'!$D$6:$D$66,MATCH("P4",'Sources'!$A$6:$A$66,0))</x:f>
        <x:v>https://raw.githubusercontent.com/Fission-AI/OpenSpec/main/docs/opsx.md
https://raw.githubusercontent.com/Fission-AI/OpenSpec/main/docs/workflows.md</x:v>
      </x:c>
    </x:row>
    <x:row r="228" ht="46.5" customHeight="1">
      <x:c r="A228" s="22" t="str">
        <x:v>F13</x:v>
      </x:c>
      <x:c r="B228" s="22" t="str">
        <x:v>OPENSPEC</x:v>
      </x:c>
      <x:c r="C228" s="30" t="n">
        <x:f>INDEX('Matrix'!$C$6:$P$35,MATCH(A228,'Matrix'!$A$6:$A$35,0),MATCH(B228,'Matrix'!$C$4:$P$4,0))</x:f>
        <x:v>2</x:v>
      </x:c>
      <x:c r="D228" s="22" t="str">
        <x:v>Decomposition and recursive workflows</x:v>
      </x:c>
      <x:c r="E228" s="22" t="str">
        <x:v>OpenSpec / OPSX</x:v>
      </x:c>
      <x:c r="F228" s="22" t="str">
        <x:v>Persistent artifact state and granular actions support iterative bounded changes.</x:v>
      </x:c>
      <x:c r="G228" s="22" t="str">
        <x:v>Published coverage; analyst judgment</x:v>
      </x:c>
      <x:c r="H228" s="22" t="str">
        <x:v>P3, P4</x:v>
      </x:c>
      <x:c r="I228" s="50" t="str">
        <x:f>INDEX('Sources'!$D$6:$D$66,MATCH("P3",'Sources'!$A$6:$A$66,0))&amp;CHAR(10)&amp;INDEX('Sources'!$D$6:$D$66,MATCH("P4",'Sources'!$A$6:$A$66,0))</x:f>
        <x:v>https://raw.githubusercontent.com/Fission-AI/OpenSpec/main/docs/opsx.md
https://raw.githubusercontent.com/Fission-AI/OpenSpec/main/docs/workflows.md</x:v>
      </x:c>
    </x:row>
    <x:row r="229" ht="46.5" customHeight="1">
      <x:c r="A229" s="22" t="str">
        <x:v>F14</x:v>
      </x:c>
      <x:c r="B229" s="22" t="str">
        <x:v>OPENSPEC</x:v>
      </x:c>
      <x:c r="C229" s="30" t="n">
        <x:f>INDEX('Matrix'!$C$6:$P$35,MATCH(A229,'Matrix'!$A$6:$A$35,0),MATCH(B229,'Matrix'!$C$4:$P$4,0))</x:f>
        <x:v>3</x:v>
      </x:c>
      <x:c r="D229" s="22" t="str">
        <x:v>Durable state and resumption</x:v>
      </x:c>
      <x:c r="E229" s="22" t="str">
        <x:v>OpenSpec / OPSX</x:v>
      </x:c>
      <x:c r="F229" s="22" t="str">
        <x:v>Persistent artifact state and granular actions support iterative bounded changes.</x:v>
      </x:c>
      <x:c r="G229" s="22" t="str">
        <x:v>Published coverage; analyst judgment</x:v>
      </x:c>
      <x:c r="H229" s="22" t="str">
        <x:v>P3, P4</x:v>
      </x:c>
      <x:c r="I229" s="50" t="str">
        <x:f>INDEX('Sources'!$D$6:$D$66,MATCH("P3",'Sources'!$A$6:$A$66,0))&amp;CHAR(10)&amp;INDEX('Sources'!$D$6:$D$66,MATCH("P4",'Sources'!$A$6:$A$66,0))</x:f>
        <x:v>https://raw.githubusercontent.com/Fission-AI/OpenSpec/main/docs/opsx.md
https://raw.githubusercontent.com/Fission-AI/OpenSpec/main/docs/workflows.md</x:v>
      </x:c>
    </x:row>
    <x:row r="230" ht="46.5" customHeight="1">
      <x:c r="A230" s="22" t="str">
        <x:v>F15</x:v>
      </x:c>
      <x:c r="B230" s="22" t="str">
        <x:v>OPENSPEC</x:v>
      </x:c>
      <x:c r="C230" s="30" t="n">
        <x:f>INDEX('Matrix'!$C$6:$P$35,MATCH(A230,'Matrix'!$A$6:$A$35,0),MATCH(B230,'Matrix'!$C$4:$P$4,0))</x:f>
        <x:v>2</x:v>
      </x:c>
      <x:c r="D230" s="22" t="str">
        <x:v>Observation and next-action feedback</x:v>
      </x:c>
      <x:c r="E230" s="22" t="str">
        <x:v>OpenSpec / OPSX</x:v>
      </x:c>
      <x:c r="F230" s="22" t="str">
        <x:v>Persistent artifact state and granular actions support iterative bounded changes.</x:v>
      </x:c>
      <x:c r="G230" s="22" t="str">
        <x:v>Published coverage; analyst judgment</x:v>
      </x:c>
      <x:c r="H230" s="22" t="str">
        <x:v>P3, P4</x:v>
      </x:c>
      <x:c r="I230" s="50" t="str">
        <x:f>INDEX('Sources'!$D$6:$D$66,MATCH("P3",'Sources'!$A$6:$A$66,0))&amp;CHAR(10)&amp;INDEX('Sources'!$D$6:$D$66,MATCH("P4",'Sources'!$A$6:$A$66,0))</x:f>
        <x:v>https://raw.githubusercontent.com/Fission-AI/OpenSpec/main/docs/opsx.md
https://raw.githubusercontent.com/Fission-AI/OpenSpec/main/docs/workflows.md</x:v>
      </x:c>
    </x:row>
    <x:row r="231" ht="46.5" customHeight="1">
      <x:c r="A231" s="22" t="str">
        <x:v>F16</x:v>
      </x:c>
      <x:c r="B231" s="22" t="str">
        <x:v>OPENSPEC</x:v>
      </x:c>
      <x:c r="C231" s="30" t="n">
        <x:f>INDEX('Matrix'!$C$6:$P$35,MATCH(A231,'Matrix'!$A$6:$A$35,0),MATCH(B231,'Matrix'!$C$4:$P$4,0))</x:f>
        <x:v>2</x:v>
      </x:c>
      <x:c r="D231" s="22" t="str">
        <x:v>Uncertainty, stops and re-entry</x:v>
      </x:c>
      <x:c r="E231" s="22" t="str">
        <x:v>OpenSpec / OPSX</x:v>
      </x:c>
      <x:c r="F231" s="22" t="str">
        <x:v>Persistent artifact state and granular actions support iterative bounded changes.</x:v>
      </x:c>
      <x:c r="G231" s="22" t="str">
        <x:v>Published coverage; analyst judgment</x:v>
      </x:c>
      <x:c r="H231" s="22" t="str">
        <x:v>P3, P4</x:v>
      </x:c>
      <x:c r="I231" s="50" t="str">
        <x:f>INDEX('Sources'!$D$6:$D$66,MATCH("P3",'Sources'!$A$6:$A$66,0))&amp;CHAR(10)&amp;INDEX('Sources'!$D$6:$D$66,MATCH("P4",'Sources'!$A$6:$A$66,0))</x:f>
        <x:v>https://raw.githubusercontent.com/Fission-AI/OpenSpec/main/docs/opsx.md
https://raw.githubusercontent.com/Fission-AI/OpenSpec/main/docs/workflows.md</x:v>
      </x:c>
    </x:row>
    <x:row r="232" ht="46.5" customHeight="1">
      <x:c r="A232" s="22" t="str">
        <x:v>F17</x:v>
      </x:c>
      <x:c r="B232" s="22" t="str">
        <x:v>OPENSPEC</x:v>
      </x:c>
      <x:c r="C232" s="30" t="n">
        <x:f>INDEX('Matrix'!$C$6:$P$35,MATCH(A232,'Matrix'!$A$6:$A$35,0),MATCH(B232,'Matrix'!$C$4:$P$4,0))</x:f>
        <x:v>1</x:v>
      </x:c>
      <x:c r="D232" s="22" t="str">
        <x:v>Permissions and effect boundaries</x:v>
      </x:c>
      <x:c r="E232" s="22" t="str">
        <x:v>OpenSpec / OPSX</x:v>
      </x:c>
      <x:c r="F232" s="22" t="str">
        <x:v>Optional Verify checks implementation against specs; underlying agent supplies execution controls.</x:v>
      </x:c>
      <x:c r="G232" s="22" t="str">
        <x:v>Published coverage; analyst judgment</x:v>
      </x:c>
      <x:c r="H232" s="22" t="str">
        <x:v>P1, P4</x:v>
      </x:c>
      <x:c r="I232" s="50" t="str">
        <x:f>INDEX('Sources'!$D$6:$D$66,MATCH("P1",'Sources'!$A$6:$A$66,0))&amp;CHAR(10)&amp;INDEX('Sources'!$D$6:$D$66,MATCH("P4",'Sources'!$A$6:$A$66,0))</x:f>
        <x:v>https://openspec.dev/
https://raw.githubusercontent.com/Fission-AI/OpenSpec/main/docs/workflows.md</x:v>
      </x:c>
    </x:row>
    <x:row r="233" ht="46.5" customHeight="1">
      <x:c r="A233" s="22" t="str">
        <x:v>F18</x:v>
      </x:c>
      <x:c r="B233" s="22" t="str">
        <x:v>OPENSPEC</x:v>
      </x:c>
      <x:c r="C233" s="30" t="n">
        <x:f>INDEX('Matrix'!$C$6:$P$35,MATCH(A233,'Matrix'!$A$6:$A$35,0),MATCH(B233,'Matrix'!$C$4:$P$4,0))</x:f>
        <x:v>1</x:v>
      </x:c>
      <x:c r="D233" s="22" t="str">
        <x:v>Independent assessment</x:v>
      </x:c>
      <x:c r="E233" s="22" t="str">
        <x:v>OpenSpec / OPSX</x:v>
      </x:c>
      <x:c r="F233" s="22" t="str">
        <x:v>No independent-review invariant established in inspected OpenSpec workflow.</x:v>
      </x:c>
      <x:c r="G233" s="22" t="str">
        <x:v>Published coverage; analyst judgment</x:v>
      </x:c>
      <x:c r="H233" s="22" t="str">
        <x:v>P1, P4</x:v>
      </x:c>
      <x:c r="I233" s="50" t="str">
        <x:f>INDEX('Sources'!$D$6:$D$66,MATCH("P1",'Sources'!$A$6:$A$66,0))&amp;CHAR(10)&amp;INDEX('Sources'!$D$6:$D$66,MATCH("P4",'Sources'!$A$6:$A$66,0))</x:f>
        <x:v>https://openspec.dev/
https://raw.githubusercontent.com/Fission-AI/OpenSpec/main/docs/workflows.md</x:v>
      </x:c>
    </x:row>
    <x:row r="234" ht="46.5" customHeight="1">
      <x:c r="A234" s="22" t="str">
        <x:v>F19</x:v>
      </x:c>
      <x:c r="B234" s="22" t="str">
        <x:v>OPENSPEC</x:v>
      </x:c>
      <x:c r="C234" s="30" t="n">
        <x:f>INDEX('Matrix'!$C$6:$P$35,MATCH(A234,'Matrix'!$A$6:$A$35,0),MATCH(B234,'Matrix'!$C$4:$P$4,0))</x:f>
        <x:v>2</x:v>
      </x:c>
      <x:c r="D234" s="22" t="str">
        <x:v>Operational and negative tests</x:v>
      </x:c>
      <x:c r="E234" s="22" t="str">
        <x:v>OpenSpec / OPSX</x:v>
      </x:c>
      <x:c r="F234" s="22" t="str">
        <x:v>Optional Verify checks implementation against specs; underlying agent supplies execution controls.</x:v>
      </x:c>
      <x:c r="G234" s="22" t="str">
        <x:v>Published coverage; analyst judgment</x:v>
      </x:c>
      <x:c r="H234" s="22" t="str">
        <x:v>P1, P4</x:v>
      </x:c>
      <x:c r="I234" s="50" t="str">
        <x:f>INDEX('Sources'!$D$6:$D$66,MATCH("P1",'Sources'!$A$6:$A$66,0))&amp;CHAR(10)&amp;INDEX('Sources'!$D$6:$D$66,MATCH("P4",'Sources'!$A$6:$A$66,0))</x:f>
        <x:v>https://openspec.dev/
https://raw.githubusercontent.com/Fission-AI/OpenSpec/main/docs/workflows.md</x:v>
      </x:c>
    </x:row>
    <x:row r="235" ht="46.5" customHeight="1">
      <x:c r="A235" s="22" t="str">
        <x:v>F20</x:v>
      </x:c>
      <x:c r="B235" s="22" t="str">
        <x:v>OPENSPEC</x:v>
      </x:c>
      <x:c r="C235" s="30" t="n">
        <x:f>INDEX('Matrix'!$C$6:$P$35,MATCH(A235,'Matrix'!$A$6:$A$35,0),MATCH(B235,'Matrix'!$C$4:$P$4,0))</x:f>
        <x:v>2</x:v>
      </x:c>
      <x:c r="D235" s="22" t="str">
        <x:v>Claim and evidence separation</x:v>
      </x:c>
      <x:c r="E235" s="22" t="str">
        <x:v>OpenSpec / OPSX</x:v>
      </x:c>
      <x:c r="F235" s="22" t="str">
        <x:v>Optional Verify checks implementation against specs; underlying agent supplies execution controls.</x:v>
      </x:c>
      <x:c r="G235" s="22" t="str">
        <x:v>Published coverage; analyst judgment</x:v>
      </x:c>
      <x:c r="H235" s="22" t="str">
        <x:v>P1, P4</x:v>
      </x:c>
      <x:c r="I235" s="50" t="str">
        <x:f>INDEX('Sources'!$D$6:$D$66,MATCH("P1",'Sources'!$A$6:$A$66,0))&amp;CHAR(10)&amp;INDEX('Sources'!$D$6:$D$66,MATCH("P4",'Sources'!$A$6:$A$66,0))</x:f>
        <x:v>https://openspec.dev/
https://raw.githubusercontent.com/Fission-AI/OpenSpec/main/docs/workflows.md</x:v>
      </x:c>
    </x:row>
    <x:row r="236" ht="46.5" customHeight="1">
      <x:c r="A236" s="22" t="str">
        <x:v>F21</x:v>
      </x:c>
      <x:c r="B236" s="22" t="str">
        <x:v>OPENSPEC</x:v>
      </x:c>
      <x:c r="C236" s="30" t="n">
        <x:f>INDEX('Matrix'!$C$6:$P$35,MATCH(A236,'Matrix'!$A$6:$A$35,0),MATCH(B236,'Matrix'!$C$4:$P$4,0))</x:f>
        <x:v>3</x:v>
      </x:c>
      <x:c r="D236" s="22" t="str">
        <x:v>Provenance and auditability</x:v>
      </x:c>
      <x:c r="E236" s="22" t="str">
        <x:v>OpenSpec / OPSX</x:v>
      </x:c>
      <x:c r="F236" s="22" t="str">
        <x:v>Optional Verify checks implementation against specs; underlying agent supplies execution controls.</x:v>
      </x:c>
      <x:c r="G236" s="22" t="str">
        <x:v>Published coverage; analyst judgment</x:v>
      </x:c>
      <x:c r="H236" s="22" t="str">
        <x:v>P1, P4</x:v>
      </x:c>
      <x:c r="I236" s="50" t="str">
        <x:f>INDEX('Sources'!$D$6:$D$66,MATCH("P1",'Sources'!$A$6:$A$66,0))&amp;CHAR(10)&amp;INDEX('Sources'!$D$6:$D$66,MATCH("P4",'Sources'!$A$6:$A$66,0))</x:f>
        <x:v>https://openspec.dev/
https://raw.githubusercontent.com/Fission-AI/OpenSpec/main/docs/workflows.md</x:v>
      </x:c>
    </x:row>
    <x:row r="237" ht="54" customHeight="1">
      <x:c r="A237" s="22" t="str">
        <x:v>F22</x:v>
      </x:c>
      <x:c r="B237" s="22" t="str">
        <x:v>OPENSPEC</x:v>
      </x:c>
      <x:c r="C237" s="30" t="n">
        <x:f>INDEX('Matrix'!$C$6:$P$35,MATCH(A237,'Matrix'!$A$6:$A$35,0),MATCH(B237,'Matrix'!$C$4:$P$4,0))</x:f>
        <x:v>3</x:v>
      </x:c>
      <x:c r="D237" s="22" t="str">
        <x:v>Change impact and specification revision</x:v>
      </x:c>
      <x:c r="E237" s="22" t="str">
        <x:v>OpenSpec / OPSX</x:v>
      </x:c>
      <x:c r="F237" s="22" t="str">
        <x:v>Delta specs, synchronization, archive and shared requirement stores preserve change context.</x:v>
      </x:c>
      <x:c r="G237" s="22" t="str">
        <x:v>Published coverage; analyst judgment</x:v>
      </x:c>
      <x:c r="H237" s="22" t="str">
        <x:v>P2, P3, P4</x:v>
      </x:c>
      <x:c r="I237" s="50" t="str">
        <x:f>INDEX('Sources'!$D$6:$D$66,MATCH("P2",'Sources'!$A$6:$A$66,0))&amp;CHAR(10)&amp;INDEX('Sources'!$D$6:$D$66,MATCH("P3",'Sources'!$A$6:$A$66,0))&amp;CHAR(10)&amp;INDEX('Sources'!$D$6:$D$66,MATCH("P4",'Sources'!$A$6:$A$66,0))</x:f>
        <x:v>https://github.com/Fission-AI/OpenSpec
https://raw.githubusercontent.com/Fission-AI/OpenSpec/main/docs/opsx.md
https://raw.githubusercontent.com/Fission-AI/OpenSpec/main/docs/workflows.md</x:v>
      </x:c>
    </x:row>
    <x:row r="238" ht="46.5" customHeight="1">
      <x:c r="A238" s="22" t="str">
        <x:v>F23</x:v>
      </x:c>
      <x:c r="B238" s="22" t="str">
        <x:v>OPENSPEC</x:v>
      </x:c>
      <x:c r="C238" s="30" t="n">
        <x:f>INDEX('Matrix'!$C$6:$P$35,MATCH(A238,'Matrix'!$A$6:$A$35,0),MATCH(B238,'Matrix'!$C$4:$P$4,0))</x:f>
        <x:v>1</x:v>
      </x:c>
      <x:c r="D238" s="22" t="str">
        <x:v>Versioned release and adoption</x:v>
      </x:c>
      <x:c r="E238" s="22" t="str">
        <x:v>OpenSpec / OPSX</x:v>
      </x:c>
      <x:c r="F238" s="22" t="str">
        <x:v>Versioned specs and explicit synchronization/archive supply basic baseline adoption; general product release qualification is not prescribed.</x:v>
      </x:c>
      <x:c r="G238" s="22" t="str">
        <x:v>Published coverage; analyst judgment</x:v>
      </x:c>
      <x:c r="H238" s="22" t="str">
        <x:v>P3, P4</x:v>
      </x:c>
      <x:c r="I238" s="50" t="str">
        <x:f>INDEX('Sources'!$D$6:$D$66,MATCH("P3",'Sources'!$A$6:$A$66,0))&amp;CHAR(10)&amp;INDEX('Sources'!$D$6:$D$66,MATCH("P4",'Sources'!$A$6:$A$66,0))</x:f>
        <x:v>https://raw.githubusercontent.com/Fission-AI/OpenSpec/main/docs/opsx.md
https://raw.githubusercontent.com/Fission-AI/OpenSpec/main/docs/workflows.md</x:v>
      </x:c>
    </x:row>
    <x:row r="239" ht="54" customHeight="1">
      <x:c r="A239" s="22" t="str">
        <x:v>F24</x:v>
      </x:c>
      <x:c r="B239" s="22" t="str">
        <x:v>OPENSPEC</x:v>
      </x:c>
      <x:c r="C239" s="30" t="n">
        <x:f>INDEX('Matrix'!$C$6:$P$35,MATCH(A239,'Matrix'!$A$6:$A$35,0),MATCH(B239,'Matrix'!$C$4:$P$4,0))</x:f>
        <x:v>3</x:v>
      </x:c>
      <x:c r="D239" s="22" t="str">
        <x:v>Reuse and extensibility</x:v>
      </x:c>
      <x:c r="E239" s="22" t="str">
        <x:v>OpenSpec / OPSX</x:v>
      </x:c>
      <x:c r="F239" s="22" t="str">
        <x:v>Many agent integrations, configurable schemas and explicit OpenSpec self-use.</x:v>
      </x:c>
      <x:c r="G239" s="22" t="str">
        <x:v>Published coverage; analyst judgment</x:v>
      </x:c>
      <x:c r="H239" s="22" t="str">
        <x:v>P1, P2, P3</x:v>
      </x:c>
      <x:c r="I239" s="50" t="str">
        <x:f>INDEX('Sources'!$D$6:$D$66,MATCH("P1",'Sources'!$A$6:$A$66,0))&amp;CHAR(10)&amp;INDEX('Sources'!$D$6:$D$66,MATCH("P2",'Sources'!$A$6:$A$66,0))&amp;CHAR(10)&amp;INDEX('Sources'!$D$6:$D$66,MATCH("P3",'Sources'!$A$6:$A$66,0))</x:f>
        <x:v>https://openspec.dev/
https://github.com/Fission-AI/OpenSpec
https://raw.githubusercontent.com/Fission-AI/OpenSpec/main/docs/opsx.md</x:v>
      </x:c>
    </x:row>
    <x:row r="240" ht="54" customHeight="1">
      <x:c r="A240" s="22" t="str">
        <x:v>F25</x:v>
      </x:c>
      <x:c r="B240" s="22" t="str">
        <x:v>OPENSPEC</x:v>
      </x:c>
      <x:c r="C240" s="30" t="n">
        <x:f>INDEX('Matrix'!$C$6:$P$35,MATCH(A240,'Matrix'!$A$6:$A$35,0),MATCH(B240,'Matrix'!$C$4:$P$4,0))</x:f>
        <x:v>2</x:v>
      </x:c>
      <x:c r="D240" s="22" t="str">
        <x:v>Process use beyond software</x:v>
      </x:c>
      <x:c r="E240" s="22" t="str">
        <x:v>OpenSpec / OPSX</x:v>
      </x:c>
      <x:c r="F240" s="22" t="str">
        <x:v>Many agent integrations, configurable schemas and explicit OpenSpec self-use.</x:v>
      </x:c>
      <x:c r="G240" s="22" t="str">
        <x:v>Published coverage; analyst judgment</x:v>
      </x:c>
      <x:c r="H240" s="22" t="str">
        <x:v>P1, P2, P3</x:v>
      </x:c>
      <x:c r="I240" s="50" t="str">
        <x:f>INDEX('Sources'!$D$6:$D$66,MATCH("P1",'Sources'!$A$6:$A$66,0))&amp;CHAR(10)&amp;INDEX('Sources'!$D$6:$D$66,MATCH("P2",'Sources'!$A$6:$A$66,0))&amp;CHAR(10)&amp;INDEX('Sources'!$D$6:$D$66,MATCH("P3",'Sources'!$A$6:$A$66,0))</x:f>
        <x:v>https://openspec.dev/
https://github.com/Fission-AI/OpenSpec
https://raw.githubusercontent.com/Fission-AI/OpenSpec/main/docs/opsx.md</x:v>
      </x:c>
    </x:row>
    <x:row r="241" ht="54" customHeight="1">
      <x:c r="A241" s="22" t="str">
        <x:v>F26</x:v>
      </x:c>
      <x:c r="B241" s="22" t="str">
        <x:v>OPENSPEC</x:v>
      </x:c>
      <x:c r="C241" s="30" t="n">
        <x:f>INDEX('Matrix'!$C$6:$P$35,MATCH(A241,'Matrix'!$A$6:$A$35,0),MATCH(B241,'Matrix'!$C$4:$P$4,0))</x:f>
        <x:v>3</x:v>
      </x:c>
      <x:c r="D241" s="22" t="str">
        <x:v>Self-application</x:v>
      </x:c>
      <x:c r="E241" s="22" t="str">
        <x:v>OpenSpec / OPSX</x:v>
      </x:c>
      <x:c r="F241" s="22" t="str">
        <x:v>Repository explicitly states OpenSpec is built using OpenSpec.</x:v>
      </x:c>
      <x:c r="G241" s="22" t="str">
        <x:v>Published coverage; analyst judgment</x:v>
      </x:c>
      <x:c r="H241" s="22" t="str">
        <x:v>P1, P2, P3</x:v>
      </x:c>
      <x:c r="I241" s="50" t="str">
        <x:f>INDEX('Sources'!$D$6:$D$66,MATCH("P1",'Sources'!$A$6:$A$66,0))&amp;CHAR(10)&amp;INDEX('Sources'!$D$6:$D$66,MATCH("P2",'Sources'!$A$6:$A$66,0))&amp;CHAR(10)&amp;INDEX('Sources'!$D$6:$D$66,MATCH("P3",'Sources'!$A$6:$A$66,0))</x:f>
        <x:v>https://openspec.dev/
https://github.com/Fission-AI/OpenSpec
https://raw.githubusercontent.com/Fission-AI/OpenSpec/main/docs/opsx.md</x:v>
      </x:c>
    </x:row>
    <x:row r="242" ht="54" customHeight="1">
      <x:c r="A242" s="22" t="str">
        <x:v>F27</x:v>
      </x:c>
      <x:c r="B242" s="22" t="str">
        <x:v>OPENSPEC</x:v>
      </x:c>
      <x:c r="C242" s="30" t="n">
        <x:f>INDEX('Matrix'!$C$6:$P$35,MATCH(A242,'Matrix'!$A$6:$A$35,0),MATCH(B242,'Matrix'!$C$4:$P$4,0))</x:f>
        <x:v>3</x:v>
      </x:c>
      <x:c r="D242" s="22" t="str">
        <x:v>AI-native method representation</x:v>
      </x:c>
      <x:c r="E242" s="22" t="str">
        <x:v>OpenSpec / OPSX</x:v>
      </x:c>
      <x:c r="F242" s="22" t="str">
        <x:v>Many agent integrations, configurable schemas and explicit OpenSpec self-use.</x:v>
      </x:c>
      <x:c r="G242" s="22" t="str">
        <x:v>Published coverage; analyst judgment</x:v>
      </x:c>
      <x:c r="H242" s="22" t="str">
        <x:v>P1, P2, P3</x:v>
      </x:c>
      <x:c r="I242" s="50" t="str">
        <x:f>INDEX('Sources'!$D$6:$D$66,MATCH("P1",'Sources'!$A$6:$A$66,0))&amp;CHAR(10)&amp;INDEX('Sources'!$D$6:$D$66,MATCH("P2",'Sources'!$A$6:$A$66,0))&amp;CHAR(10)&amp;INDEX('Sources'!$D$6:$D$66,MATCH("P3",'Sources'!$A$6:$A$66,0))</x:f>
        <x:v>https://openspec.dev/
https://github.com/Fission-AI/OpenSpec
https://raw.githubusercontent.com/Fission-AI/OpenSpec/main/docs/opsx.md</x:v>
      </x:c>
    </x:row>
    <x:row r="243" ht="54" customHeight="1">
      <x:c r="A243" s="22" t="str">
        <x:v>F28</x:v>
      </x:c>
      <x:c r="B243" s="22" t="str">
        <x:v>OPENSPEC</x:v>
      </x:c>
      <x:c r="C243" s="30" t="n">
        <x:f>INDEX('Matrix'!$C$6:$P$35,MATCH(A243,'Matrix'!$A$6:$A$35,0),MATCH(B243,'Matrix'!$C$4:$P$4,0))</x:f>
        <x:v>3</x:v>
      </x:c>
      <x:c r="D243" s="22" t="str">
        <x:v>Onboarding and reader guidance</x:v>
      </x:c>
      <x:c r="E243" s="22" t="str">
        <x:v>OpenSpec / OPSX</x:v>
      </x:c>
      <x:c r="F243" s="22" t="str">
        <x:v>Many agent integrations, configurable schemas and explicit OpenSpec self-use.</x:v>
      </x:c>
      <x:c r="G243" s="22" t="str">
        <x:v>Published coverage; analyst judgment</x:v>
      </x:c>
      <x:c r="H243" s="22" t="str">
        <x:v>P1, P2, P3</x:v>
      </x:c>
      <x:c r="I243" s="50" t="str">
        <x:f>INDEX('Sources'!$D$6:$D$66,MATCH("P1",'Sources'!$A$6:$A$66,0))&amp;CHAR(10)&amp;INDEX('Sources'!$D$6:$D$66,MATCH("P2",'Sources'!$A$6:$A$66,0))&amp;CHAR(10)&amp;INDEX('Sources'!$D$6:$D$66,MATCH("P3",'Sources'!$A$6:$A$66,0))</x:f>
        <x:v>https://openspec.dev/
https://github.com/Fission-AI/OpenSpec
https://raw.githubusercontent.com/Fission-AI/OpenSpec/main/docs/opsx.md</x:v>
      </x:c>
    </x:row>
    <x:row r="244" ht="54" customHeight="1">
      <x:c r="A244" s="22" t="str">
        <x:v>F29</x:v>
      </x:c>
      <x:c r="B244" s="22" t="str">
        <x:v>OPENSPEC</x:v>
      </x:c>
      <x:c r="C244" s="30" t="n">
        <x:f>INDEX('Matrix'!$C$6:$P$35,MATCH(A244,'Matrix'!$A$6:$A$35,0),MATCH(B244,'Matrix'!$C$4:$P$4,0))</x:f>
        <x:v>1</x:v>
      </x:c>
      <x:c r="D244" s="22" t="str">
        <x:v>Evidence of effectiveness</x:v>
      </x:c>
      <x:c r="E244" s="22" t="str">
        <x:v>OpenSpec / OPSX</x:v>
      </x:c>
      <x:c r="F244" s="22" t="str">
        <x:v>Adoption/examples are reported; no controlled full-method effectiveness result.</x:v>
      </x:c>
      <x:c r="G244" s="22" t="str">
        <x:v>Published coverage; analyst judgment</x:v>
      </x:c>
      <x:c r="H244" s="22" t="str">
        <x:v>P1, P2, P3</x:v>
      </x:c>
      <x:c r="I244" s="50" t="str">
        <x:f>INDEX('Sources'!$D$6:$D$66,MATCH("P1",'Sources'!$A$6:$A$66,0))&amp;CHAR(10)&amp;INDEX('Sources'!$D$6:$D$66,MATCH("P2",'Sources'!$A$6:$A$66,0))&amp;CHAR(10)&amp;INDEX('Sources'!$D$6:$D$66,MATCH("P3",'Sources'!$A$6:$A$66,0))</x:f>
        <x:v>https://openspec.dev/
https://github.com/Fission-AI/OpenSpec
https://raw.githubusercontent.com/Fission-AI/OpenSpec/main/docs/opsx.md</x:v>
      </x:c>
    </x:row>
    <x:row r="245" ht="54" customHeight="1">
      <x:c r="A245" s="22" t="str">
        <x:v>F30</x:v>
      </x:c>
      <x:c r="B245" s="22" t="str">
        <x:v>OPENSPEC</x:v>
      </x:c>
      <x:c r="C245" s="30" t="n">
        <x:f>INDEX('Matrix'!$C$6:$P$35,MATCH(A245,'Matrix'!$A$6:$A$35,0),MATCH(B245,'Matrix'!$C$4:$P$4,0))</x:f>
        <x:v>1</x:v>
      </x:c>
      <x:c r="D245" s="22" t="str">
        <x:v>Work and resource measurement</x:v>
      </x:c>
      <x:c r="E245" s="22" t="str">
        <x:v>OpenSpec / OPSX</x:v>
      </x:c>
      <x:c r="F245" s="22" t="str">
        <x:v>Lightweight design claim; measured method resource savings not established.</x:v>
      </x:c>
      <x:c r="G245" s="22" t="str">
        <x:v>Published coverage; analyst judgment</x:v>
      </x:c>
      <x:c r="H245" s="22" t="str">
        <x:v>P1, P2, P3</x:v>
      </x:c>
      <x:c r="I245" s="50" t="str">
        <x:f>INDEX('Sources'!$D$6:$D$66,MATCH("P1",'Sources'!$A$6:$A$66,0))&amp;CHAR(10)&amp;INDEX('Sources'!$D$6:$D$66,MATCH("P2",'Sources'!$A$6:$A$66,0))&amp;CHAR(10)&amp;INDEX('Sources'!$D$6:$D$66,MATCH("P3",'Sources'!$A$6:$A$66,0))</x:f>
        <x:v>https://openspec.dev/
https://github.com/Fission-AI/OpenSpec
https://raw.githubusercontent.com/Fission-AI/OpenSpec/main/docs/opsx.md</x:v>
      </x:c>
    </x:row>
    <x:row r="246" ht="46.5" customHeight="1">
      <x:c r="A246" s="22" t="str">
        <x:v>F01</x:v>
      </x:c>
      <x:c r="B246" s="22" t="str">
        <x:v>QWEN</x:v>
      </x:c>
      <x:c r="C246" s="30" t="n">
        <x:f>INDEX('Matrix'!$C$6:$P$35,MATCH(A246,'Matrix'!$A$6:$A$35,0),MATCH(B246,'Matrix'!$C$4:$P$4,0))</x:f>
        <x:v>3</x:v>
      </x:c>
      <x:c r="D246" s="22" t="str">
        <x:v>Intent and success criteria</x:v>
      </x:c>
      <x:c r="E246" s="22" t="str">
        <x:v>Qwen Code</x:v>
      </x:c>
      <x:c r="F246" s="22" t="str">
        <x:v>Goals declare outcomes, observable checks, prohibitions and essential context.</x:v>
      </x:c>
      <x:c r="G246" s="22" t="str">
        <x:v>Published coverage; analyst judgment</x:v>
      </x:c>
      <x:c r="H246" s="22" t="str">
        <x:v>Q1, Q2</x:v>
      </x:c>
      <x:c r="I246" s="50" t="str">
        <x:f>INDEX('Sources'!$D$6:$D$66,MATCH("Q1",'Sources'!$A$6:$A$66,0))&amp;CHAR(10)&amp;INDEX('Sources'!$D$6:$D$66,MATCH("Q2",'Sources'!$A$6:$A$66,0))</x:f>
        <x:v>https://qwenlm.github.io/qwen-code-docs/en/users/common-workflow/
https://qwenlm.github.io/qwen-code-docs/en/users/features/goals/</x:v>
      </x:c>
    </x:row>
    <x:row r="247" ht="46.5" customHeight="1">
      <x:c r="A247" s="22" t="str">
        <x:v>F02</x:v>
      </x:c>
      <x:c r="B247" s="22" t="str">
        <x:v>QWEN</x:v>
      </x:c>
      <x:c r="C247" s="30" t="n">
        <x:f>INDEX('Matrix'!$C$6:$P$35,MATCH(A247,'Matrix'!$A$6:$A$35,0),MATCH(B247,'Matrix'!$C$4:$P$4,0))</x:f>
        <x:v>1</x:v>
      </x:c>
      <x:c r="D247" s="22" t="str">
        <x:v>Product definition and scope</x:v>
      </x:c>
      <x:c r="E247" s="22" t="str">
        <x:v>Qwen Code</x:v>
      </x:c>
      <x:c r="F247" s="22" t="str">
        <x:v>Goals declare outcomes, observable checks, prohibitions and essential context.</x:v>
      </x:c>
      <x:c r="G247" s="22" t="str">
        <x:v>Published coverage; analyst judgment</x:v>
      </x:c>
      <x:c r="H247" s="22" t="str">
        <x:v>Q1, Q2</x:v>
      </x:c>
      <x:c r="I247" s="50" t="str">
        <x:f>INDEX('Sources'!$D$6:$D$66,MATCH("Q1",'Sources'!$A$6:$A$66,0))&amp;CHAR(10)&amp;INDEX('Sources'!$D$6:$D$66,MATCH("Q2",'Sources'!$A$6:$A$66,0))</x:f>
        <x:v>https://qwenlm.github.io/qwen-code-docs/en/users/common-workflow/
https://qwenlm.github.io/qwen-code-docs/en/users/features/goals/</x:v>
      </x:c>
    </x:row>
    <x:row r="248" ht="46.5" customHeight="1">
      <x:c r="A248" s="22" t="str">
        <x:v>F03</x:v>
      </x:c>
      <x:c r="B248" s="22" t="str">
        <x:v>QWEN</x:v>
      </x:c>
      <x:c r="C248" s="30" t="n">
        <x:f>INDEX('Matrix'!$C$6:$P$35,MATCH(A248,'Matrix'!$A$6:$A$35,0),MATCH(B248,'Matrix'!$C$4:$P$4,0))</x:f>
        <x:v>2</x:v>
      </x:c>
      <x:c r="D248" s="22" t="str">
        <x:v>Requirements before construction</x:v>
      </x:c>
      <x:c r="E248" s="22" t="str">
        <x:v>Qwen Code</x:v>
      </x:c>
      <x:c r="F248" s="22" t="str">
        <x:v>Goals declare outcomes, observable checks, prohibitions and essential context.</x:v>
      </x:c>
      <x:c r="G248" s="22" t="str">
        <x:v>Published coverage; analyst judgment</x:v>
      </x:c>
      <x:c r="H248" s="22" t="str">
        <x:v>Q1, Q2</x:v>
      </x:c>
      <x:c r="I248" s="50" t="str">
        <x:f>INDEX('Sources'!$D$6:$D$66,MATCH("Q1",'Sources'!$A$6:$A$66,0))&amp;CHAR(10)&amp;INDEX('Sources'!$D$6:$D$66,MATCH("Q2",'Sources'!$A$6:$A$66,0))</x:f>
        <x:v>https://qwenlm.github.io/qwen-code-docs/en/users/common-workflow/
https://qwenlm.github.io/qwen-code-docs/en/users/features/goals/</x:v>
      </x:c>
    </x:row>
    <x:row r="249" ht="46.5" customHeight="1">
      <x:c r="A249" s="22" t="str">
        <x:v>F04</x:v>
      </x:c>
      <x:c r="B249" s="22" t="str">
        <x:v>QWEN</x:v>
      </x:c>
      <x:c r="C249" s="30" t="n">
        <x:f>INDEX('Matrix'!$C$6:$P$35,MATCH(A249,'Matrix'!$A$6:$A$35,0),MATCH(B249,'Matrix'!$C$4:$P$4,0))</x:f>
        <x:v>2</x:v>
      </x:c>
      <x:c r="D249" s="22" t="str">
        <x:v>Design separated from requirements</x:v>
      </x:c>
      <x:c r="E249" s="22" t="str">
        <x:v>Qwen Code</x:v>
      </x:c>
      <x:c r="F249" s="22" t="str">
        <x:v>Goals declare outcomes, observable checks, prohibitions and essential context.</x:v>
      </x:c>
      <x:c r="G249" s="22" t="str">
        <x:v>Published coverage; analyst judgment</x:v>
      </x:c>
      <x:c r="H249" s="22" t="str">
        <x:v>Q1, Q2</x:v>
      </x:c>
      <x:c r="I249" s="50" t="str">
        <x:f>INDEX('Sources'!$D$6:$D$66,MATCH("Q1",'Sources'!$A$6:$A$66,0))&amp;CHAR(10)&amp;INDEX('Sources'!$D$6:$D$66,MATCH("Q2",'Sources'!$A$6:$A$66,0))</x:f>
        <x:v>https://qwenlm.github.io/qwen-code-docs/en/users/common-workflow/
https://qwenlm.github.io/qwen-code-docs/en/users/features/goals/</x:v>
      </x:c>
    </x:row>
    <x:row r="250" ht="46.5" customHeight="1">
      <x:c r="A250" s="22" t="str">
        <x:v>F05</x:v>
      </x:c>
      <x:c r="B250" s="22" t="str">
        <x:v>QWEN</x:v>
      </x:c>
      <x:c r="C250" s="30" t="n">
        <x:f>INDEX('Matrix'!$C$6:$P$35,MATCH(A250,'Matrix'!$A$6:$A$35,0),MATCH(B250,'Matrix'!$C$4:$P$4,0))</x:f>
        <x:v>2</x:v>
      </x:c>
      <x:c r="D250" s="22" t="str">
        <x:v>Traceability across stages</x:v>
      </x:c>
      <x:c r="E250" s="22" t="str">
        <x:v>Qwen Code</x:v>
      </x:c>
      <x:c r="F250" s="22" t="str">
        <x:v>Goals declare outcomes, observable checks, prohibitions and essential context.</x:v>
      </x:c>
      <x:c r="G250" s="22" t="str">
        <x:v>Published coverage; analyst judgment</x:v>
      </x:c>
      <x:c r="H250" s="22" t="str">
        <x:v>Q1, Q2</x:v>
      </x:c>
      <x:c r="I250" s="50" t="str">
        <x:f>INDEX('Sources'!$D$6:$D$66,MATCH("Q1",'Sources'!$A$6:$A$66,0))&amp;CHAR(10)&amp;INDEX('Sources'!$D$6:$D$66,MATCH("Q2",'Sources'!$A$6:$A$66,0))</x:f>
        <x:v>https://qwenlm.github.io/qwen-code-docs/en/users/common-workflow/
https://qwenlm.github.io/qwen-code-docs/en/users/features/goals/</x:v>
      </x:c>
    </x:row>
    <x:row r="251" ht="46.5" customHeight="1">
      <x:c r="A251" s="22" t="str">
        <x:v>F06</x:v>
      </x:c>
      <x:c r="B251" s="22" t="str">
        <x:v>QWEN</x:v>
      </x:c>
      <x:c r="C251" s="30" t="str">
        <x:f>INDEX('Matrix'!$C$6:$P$35,MATCH(A251,'Matrix'!$A$6:$A$35,0),MATCH(B251,'Matrix'!$C$4:$P$4,0))</x:f>
        <x:v>U</x:v>
      </x:c>
      <x:c r="D251" s="22" t="str">
        <x:v>Domain concepts and identity</x:v>
      </x:c>
      <x:c r="E251" s="22" t="str">
        <x:v>Qwen Code</x:v>
      </x:c>
      <x:c r="F251" s="22" t="str">
        <x:v>Agent and Goal configuration does not establish contextual ownership of domain meaning.</x:v>
      </x:c>
      <x:c r="G251" s="22" t="str">
        <x:v>Published coverage; analyst judgment</x:v>
      </x:c>
      <x:c r="H251" s="22" t="str">
        <x:v>Q2</x:v>
      </x:c>
      <x:c r="I251" s="50" t="str">
        <x:f>INDEX('Sources'!$D$6:$D$66,MATCH("Q2",'Sources'!$A$6:$A$66,0))</x:f>
        <x:v>https://qwenlm.github.io/qwen-code-docs/en/users/features/goals/</x:v>
      </x:c>
    </x:row>
    <x:row r="252" ht="46.5" customHeight="1">
      <x:c r="A252" s="22" t="str">
        <x:v>F07</x:v>
      </x:c>
      <x:c r="B252" s="22" t="str">
        <x:v>QWEN</x:v>
      </x:c>
      <x:c r="C252" s="30" t="n">
        <x:f>INDEX('Matrix'!$C$6:$P$35,MATCH(A252,'Matrix'!$A$6:$A$35,0),MATCH(B252,'Matrix'!$C$4:$P$4,0))</x:f>
        <x:v>2</x:v>
      </x:c>
      <x:c r="D252" s="22" t="str">
        <x:v>Explicit inputs, outputs and contracts</x:v>
      </x:c>
      <x:c r="E252" s="22" t="str">
        <x:v>Qwen Code</x:v>
      </x:c>
      <x:c r="F252" s="22" t="str">
        <x:v>Agent/tool configuration and goal contracts; semantic algebra not established.</x:v>
      </x:c>
      <x:c r="G252" s="22" t="str">
        <x:v>Published coverage; analyst judgment</x:v>
      </x:c>
      <x:c r="H252" s="22" t="str">
        <x:v>Q2, Q3</x:v>
      </x:c>
      <x:c r="I252" s="50" t="str">
        <x:f>INDEX('Sources'!$D$6:$D$66,MATCH("Q2",'Sources'!$A$6:$A$66,0))&amp;CHAR(10)&amp;INDEX('Sources'!$D$6:$D$66,MATCH("Q3",'Sources'!$A$6:$A$66,0))</x:f>
        <x:v>https://qwenlm.github.io/qwen-code-docs/en/users/features/goals/
https://qwenlm.github.io/qwen-code-docs/en/users/features/sub-agents/</x:v>
      </x:c>
    </x:row>
    <x:row r="253" ht="46.5" customHeight="1">
      <x:c r="A253" s="22" t="str">
        <x:v>F08</x:v>
      </x:c>
      <x:c r="B253" s="22" t="str">
        <x:v>QWEN</x:v>
      </x:c>
      <x:c r="C253" s="30" t="n">
        <x:f>INDEX('Matrix'!$C$6:$P$35,MATCH(A253,'Matrix'!$A$6:$A$35,0),MATCH(B253,'Matrix'!$C$4:$P$4,0))</x:f>
        <x:v>2</x:v>
      </x:c>
      <x:c r="D253" s="22" t="str">
        <x:v>Invariants and semantic constraints</x:v>
      </x:c>
      <x:c r="E253" s="22" t="str">
        <x:v>Qwen Code</x:v>
      </x:c>
      <x:c r="F253" s="22" t="str">
        <x:v>Agent/tool configuration and goal contracts; semantic algebra not established.</x:v>
      </x:c>
      <x:c r="G253" s="22" t="str">
        <x:v>Published coverage; analyst judgment</x:v>
      </x:c>
      <x:c r="H253" s="22" t="str">
        <x:v>Q2, Q3</x:v>
      </x:c>
      <x:c r="I253" s="50" t="str">
        <x:f>INDEX('Sources'!$D$6:$D$66,MATCH("Q2",'Sources'!$A$6:$A$66,0))&amp;CHAR(10)&amp;INDEX('Sources'!$D$6:$D$66,MATCH("Q3",'Sources'!$A$6:$A$66,0))</x:f>
        <x:v>https://qwenlm.github.io/qwen-code-docs/en/users/features/goals/
https://qwenlm.github.io/qwen-code-docs/en/users/features/sub-agents/</x:v>
      </x:c>
    </x:row>
    <x:row r="254" ht="46.5" customHeight="1">
      <x:c r="A254" s="22" t="str">
        <x:v>F09</x:v>
      </x:c>
      <x:c r="B254" s="22" t="str">
        <x:v>QWEN</x:v>
      </x:c>
      <x:c r="C254" s="30" t="n">
        <x:f>INDEX('Matrix'!$C$6:$P$35,MATCH(A254,'Matrix'!$A$6:$A$35,0),MATCH(B254,'Matrix'!$C$4:$P$4,0))</x:f>
        <x:v>1</x:v>
      </x:c>
      <x:c r="D254" s="22" t="str">
        <x:v>Composition and formal reasoning</x:v>
      </x:c>
      <x:c r="E254" s="22" t="str">
        <x:v>Qwen Code</x:v>
      </x:c>
      <x:c r="F254" s="22" t="str">
        <x:v>Permission inheritance and fork restrictions supply limited operational composition constraints; semantic algebra is not established.</x:v>
      </x:c>
      <x:c r="G254" s="22" t="str">
        <x:v>Published coverage; analyst judgment</x:v>
      </x:c>
      <x:c r="H254" s="22" t="str">
        <x:v>Q3</x:v>
      </x:c>
      <x:c r="I254" s="50" t="str">
        <x:f>INDEX('Sources'!$D$6:$D$66,MATCH("Q3",'Sources'!$A$6:$A$66,0))</x:f>
        <x:v>https://qwenlm.github.io/qwen-code-docs/en/users/features/sub-agents/</x:v>
      </x:c>
    </x:row>
    <x:row r="255" ht="54" customHeight="1">
      <x:c r="A255" s="22" t="str">
        <x:v>F10</x:v>
      </x:c>
      <x:c r="B255" s="22" t="str">
        <x:v>QWEN</x:v>
      </x:c>
      <x:c r="C255" s="30" t="n">
        <x:f>INDEX('Matrix'!$C$6:$P$35,MATCH(A255,'Matrix'!$A$6:$A$35,0),MATCH(B255,'Matrix'!$C$4:$P$4,0))</x:f>
        <x:v>3</x:v>
      </x:c>
      <x:c r="D255" s="22" t="str">
        <x:v>Relevant context selection</x:v>
      </x:c>
      <x:c r="E255" s="22" t="str">
        <x:v>Qwen Code</x:v>
      </x:c>
      <x:c r="F255" s="22" t="str">
        <x:v>Fresh or bounded fork context, journaled Goals, turn/time budgets and explicit stops.</x:v>
      </x:c>
      <x:c r="G255" s="22" t="str">
        <x:v>Published coverage; analyst judgment</x:v>
      </x:c>
      <x:c r="H255" s="22" t="str">
        <x:v>Q1, Q2, Q3</x:v>
      </x:c>
      <x:c r="I255" s="50" t="str">
        <x:f>INDEX('Sources'!$D$6:$D$66,MATCH("Q1",'Sources'!$A$6:$A$66,0))&amp;CHAR(10)&amp;INDEX('Sources'!$D$6:$D$66,MATCH("Q2",'Sources'!$A$6:$A$66,0))&amp;CHAR(10)&amp;INDEX('Sources'!$D$6:$D$66,MATCH("Q3",'Sources'!$A$6:$A$66,0))</x:f>
        <x:v>https://qwenlm.github.io/qwen-code-docs/en/users/common-workflow/
https://qwenlm.github.io/qwen-code-docs/en/users/features/goals/
https://qwenlm.github.io/qwen-code-docs/en/users/features/sub-agents/</x:v>
      </x:c>
    </x:row>
    <x:row r="256" ht="54" customHeight="1">
      <x:c r="A256" s="22" t="str">
        <x:v>F11</x:v>
      </x:c>
      <x:c r="B256" s="22" t="str">
        <x:v>QWEN</x:v>
      </x:c>
      <x:c r="C256" s="30" t="n">
        <x:f>INDEX('Matrix'!$C$6:$P$35,MATCH(A256,'Matrix'!$A$6:$A$35,0),MATCH(B256,'Matrix'!$C$4:$P$4,0))</x:f>
        <x:v>3</x:v>
      </x:c>
      <x:c r="D256" s="22" t="str">
        <x:v>Attention fit and proportionality</x:v>
      </x:c>
      <x:c r="E256" s="22" t="str">
        <x:v>Qwen Code</x:v>
      </x:c>
      <x:c r="F256" s="22" t="str">
        <x:v>Fresh or bounded fork context, journaled Goals, turn/time budgets and explicit stops.</x:v>
      </x:c>
      <x:c r="G256" s="22" t="str">
        <x:v>Published coverage; analyst judgment</x:v>
      </x:c>
      <x:c r="H256" s="22" t="str">
        <x:v>Q1, Q2, Q3</x:v>
      </x:c>
      <x:c r="I256" s="50" t="str">
        <x:f>INDEX('Sources'!$D$6:$D$66,MATCH("Q1",'Sources'!$A$6:$A$66,0))&amp;CHAR(10)&amp;INDEX('Sources'!$D$6:$D$66,MATCH("Q2",'Sources'!$A$6:$A$66,0))&amp;CHAR(10)&amp;INDEX('Sources'!$D$6:$D$66,MATCH("Q3",'Sources'!$A$6:$A$66,0))</x:f>
        <x:v>https://qwenlm.github.io/qwen-code-docs/en/users/common-workflow/
https://qwenlm.github.io/qwen-code-docs/en/users/features/goals/
https://qwenlm.github.io/qwen-code-docs/en/users/features/sub-agents/</x:v>
      </x:c>
    </x:row>
    <x:row r="257" ht="54" customHeight="1">
      <x:c r="A257" s="22" t="str">
        <x:v>F12</x:v>
      </x:c>
      <x:c r="B257" s="22" t="str">
        <x:v>QWEN</x:v>
      </x:c>
      <x:c r="C257" s="30" t="n">
        <x:f>INDEX('Matrix'!$C$6:$P$35,MATCH(A257,'Matrix'!$A$6:$A$35,0),MATCH(B257,'Matrix'!$C$4:$P$4,0))</x:f>
        <x:v>3</x:v>
      </x:c>
      <x:c r="D257" s="22" t="str">
        <x:v>Bounded probabilistic construction</x:v>
      </x:c>
      <x:c r="E257" s="22" t="str">
        <x:v>Qwen Code</x:v>
      </x:c>
      <x:c r="F257" s="22" t="str">
        <x:v>Fresh or bounded fork context, journaled Goals, turn/time budgets and explicit stops.</x:v>
      </x:c>
      <x:c r="G257" s="22" t="str">
        <x:v>Published coverage; analyst judgment</x:v>
      </x:c>
      <x:c r="H257" s="22" t="str">
        <x:v>Q1, Q2, Q3</x:v>
      </x:c>
      <x:c r="I257" s="50" t="str">
        <x:f>INDEX('Sources'!$D$6:$D$66,MATCH("Q1",'Sources'!$A$6:$A$66,0))&amp;CHAR(10)&amp;INDEX('Sources'!$D$6:$D$66,MATCH("Q2",'Sources'!$A$6:$A$66,0))&amp;CHAR(10)&amp;INDEX('Sources'!$D$6:$D$66,MATCH("Q3",'Sources'!$A$6:$A$66,0))</x:f>
        <x:v>https://qwenlm.github.io/qwen-code-docs/en/users/common-workflow/
https://qwenlm.github.io/qwen-code-docs/en/users/features/goals/
https://qwenlm.github.io/qwen-code-docs/en/users/features/sub-agents/</x:v>
      </x:c>
    </x:row>
    <x:row r="258" ht="54" customHeight="1">
      <x:c r="A258" s="22" t="str">
        <x:v>F13</x:v>
      </x:c>
      <x:c r="B258" s="22" t="str">
        <x:v>QWEN</x:v>
      </x:c>
      <x:c r="C258" s="30" t="n">
        <x:f>INDEX('Matrix'!$C$6:$P$35,MATCH(A258,'Matrix'!$A$6:$A$35,0),MATCH(B258,'Matrix'!$C$4:$P$4,0))</x:f>
        <x:v>3</x:v>
      </x:c>
      <x:c r="D258" s="22" t="str">
        <x:v>Decomposition and recursive workflows</x:v>
      </x:c>
      <x:c r="E258" s="22" t="str">
        <x:v>Qwen Code</x:v>
      </x:c>
      <x:c r="F258" s="22" t="str">
        <x:v>Fresh or bounded fork context, journaled Goals, turn/time budgets and explicit stops.</x:v>
      </x:c>
      <x:c r="G258" s="22" t="str">
        <x:v>Published coverage; analyst judgment</x:v>
      </x:c>
      <x:c r="H258" s="22" t="str">
        <x:v>Q1, Q2, Q3</x:v>
      </x:c>
      <x:c r="I258" s="50" t="str">
        <x:f>INDEX('Sources'!$D$6:$D$66,MATCH("Q1",'Sources'!$A$6:$A$66,0))&amp;CHAR(10)&amp;INDEX('Sources'!$D$6:$D$66,MATCH("Q2",'Sources'!$A$6:$A$66,0))&amp;CHAR(10)&amp;INDEX('Sources'!$D$6:$D$66,MATCH("Q3",'Sources'!$A$6:$A$66,0))</x:f>
        <x:v>https://qwenlm.github.io/qwen-code-docs/en/users/common-workflow/
https://qwenlm.github.io/qwen-code-docs/en/users/features/goals/
https://qwenlm.github.io/qwen-code-docs/en/users/features/sub-agents/</x:v>
      </x:c>
    </x:row>
    <x:row r="259" ht="54" customHeight="1">
      <x:c r="A259" s="22" t="str">
        <x:v>F14</x:v>
      </x:c>
      <x:c r="B259" s="22" t="str">
        <x:v>QWEN</x:v>
      </x:c>
      <x:c r="C259" s="30" t="n">
        <x:f>INDEX('Matrix'!$C$6:$P$35,MATCH(A259,'Matrix'!$A$6:$A$35,0),MATCH(B259,'Matrix'!$C$4:$P$4,0))</x:f>
        <x:v>3</x:v>
      </x:c>
      <x:c r="D259" s="22" t="str">
        <x:v>Durable state and resumption</x:v>
      </x:c>
      <x:c r="E259" s="22" t="str">
        <x:v>Qwen Code</x:v>
      </x:c>
      <x:c r="F259" s="22" t="str">
        <x:v>Fresh or bounded fork context, journaled Goals, turn/time budgets and explicit stops.</x:v>
      </x:c>
      <x:c r="G259" s="22" t="str">
        <x:v>Published coverage; analyst judgment</x:v>
      </x:c>
      <x:c r="H259" s="22" t="str">
        <x:v>Q1, Q2, Q3</x:v>
      </x:c>
      <x:c r="I259" s="50" t="str">
        <x:f>INDEX('Sources'!$D$6:$D$66,MATCH("Q1",'Sources'!$A$6:$A$66,0))&amp;CHAR(10)&amp;INDEX('Sources'!$D$6:$D$66,MATCH("Q2",'Sources'!$A$6:$A$66,0))&amp;CHAR(10)&amp;INDEX('Sources'!$D$6:$D$66,MATCH("Q3",'Sources'!$A$6:$A$66,0))</x:f>
        <x:v>https://qwenlm.github.io/qwen-code-docs/en/users/common-workflow/
https://qwenlm.github.io/qwen-code-docs/en/users/features/goals/
https://qwenlm.github.io/qwen-code-docs/en/users/features/sub-agents/</x:v>
      </x:c>
    </x:row>
    <x:row r="260" ht="54" customHeight="1">
      <x:c r="A260" s="22" t="str">
        <x:v>F15</x:v>
      </x:c>
      <x:c r="B260" s="22" t="str">
        <x:v>QWEN</x:v>
      </x:c>
      <x:c r="C260" s="30" t="n">
        <x:f>INDEX('Matrix'!$C$6:$P$35,MATCH(A260,'Matrix'!$A$6:$A$35,0),MATCH(B260,'Matrix'!$C$4:$P$4,0))</x:f>
        <x:v>3</x:v>
      </x:c>
      <x:c r="D260" s="22" t="str">
        <x:v>Observation and next-action feedback</x:v>
      </x:c>
      <x:c r="E260" s="22" t="str">
        <x:v>Qwen Code</x:v>
      </x:c>
      <x:c r="F260" s="22" t="str">
        <x:v>Fresh or bounded fork context, journaled Goals, turn/time budgets and explicit stops.</x:v>
      </x:c>
      <x:c r="G260" s="22" t="str">
        <x:v>Published coverage; analyst judgment</x:v>
      </x:c>
      <x:c r="H260" s="22" t="str">
        <x:v>Q1, Q2, Q3</x:v>
      </x:c>
      <x:c r="I260" s="50" t="str">
        <x:f>INDEX('Sources'!$D$6:$D$66,MATCH("Q1",'Sources'!$A$6:$A$66,0))&amp;CHAR(10)&amp;INDEX('Sources'!$D$6:$D$66,MATCH("Q2",'Sources'!$A$6:$A$66,0))&amp;CHAR(10)&amp;INDEX('Sources'!$D$6:$D$66,MATCH("Q3",'Sources'!$A$6:$A$66,0))</x:f>
        <x:v>https://qwenlm.github.io/qwen-code-docs/en/users/common-workflow/
https://qwenlm.github.io/qwen-code-docs/en/users/features/goals/
https://qwenlm.github.io/qwen-code-docs/en/users/features/sub-agents/</x:v>
      </x:c>
    </x:row>
    <x:row r="261" ht="54" customHeight="1">
      <x:c r="A261" s="22" t="str">
        <x:v>F16</x:v>
      </x:c>
      <x:c r="B261" s="22" t="str">
        <x:v>QWEN</x:v>
      </x:c>
      <x:c r="C261" s="30" t="n">
        <x:f>INDEX('Matrix'!$C$6:$P$35,MATCH(A261,'Matrix'!$A$6:$A$35,0),MATCH(B261,'Matrix'!$C$4:$P$4,0))</x:f>
        <x:v>3</x:v>
      </x:c>
      <x:c r="D261" s="22" t="str">
        <x:v>Uncertainty, stops and re-entry</x:v>
      </x:c>
      <x:c r="E261" s="22" t="str">
        <x:v>Qwen Code</x:v>
      </x:c>
      <x:c r="F261" s="22" t="str">
        <x:v>Fresh or bounded fork context, journaled Goals, turn/time budgets and explicit stops.</x:v>
      </x:c>
      <x:c r="G261" s="22" t="str">
        <x:v>Published coverage; analyst judgment</x:v>
      </x:c>
      <x:c r="H261" s="22" t="str">
        <x:v>Q1, Q2, Q3</x:v>
      </x:c>
      <x:c r="I261" s="50" t="str">
        <x:f>INDEX('Sources'!$D$6:$D$66,MATCH("Q1",'Sources'!$A$6:$A$66,0))&amp;CHAR(10)&amp;INDEX('Sources'!$D$6:$D$66,MATCH("Q2",'Sources'!$A$6:$A$66,0))&amp;CHAR(10)&amp;INDEX('Sources'!$D$6:$D$66,MATCH("Q3",'Sources'!$A$6:$A$66,0))</x:f>
        <x:v>https://qwenlm.github.io/qwen-code-docs/en/users/common-workflow/
https://qwenlm.github.io/qwen-code-docs/en/users/features/goals/
https://qwenlm.github.io/qwen-code-docs/en/users/features/sub-agents/</x:v>
      </x:c>
    </x:row>
    <x:row r="262" ht="68.25" customHeight="1">
      <x:c r="A262" s="22" t="str">
        <x:v>F17</x:v>
      </x:c>
      <x:c r="B262" s="22" t="str">
        <x:v>QWEN</x:v>
      </x:c>
      <x:c r="C262" s="30" t="n">
        <x:f>INDEX('Matrix'!$C$6:$P$35,MATCH(A262,'Matrix'!$A$6:$A$35,0),MATCH(B262,'Matrix'!$C$4:$P$4,0))</x:f>
        <x:v>3</x:v>
      </x:c>
      <x:c r="D262" s="22" t="str">
        <x:v>Permissions and effect boundaries</x:v>
      </x:c>
      <x:c r="E262" s="22" t="str">
        <x:v>Qwen Code</x:v>
      </x:c>
      <x:c r="F262" s="22" t="str">
        <x:v>Transcript verifier, specialist reviews, tests and configurable permissions.</x:v>
      </x:c>
      <x:c r="G262" s="22" t="str">
        <x:v>Published coverage; analyst judgment</x:v>
      </x:c>
      <x:c r="H262" s="22" t="str">
        <x:v>Q1, Q2, Q3, Q4</x:v>
      </x:c>
      <x:c r="I262" s="50" t="str">
        <x:f>INDEX('Sources'!$D$6:$D$66,MATCH("Q1",'Sources'!$A$6:$A$66,0))&amp;CHAR(10)&amp;INDEX('Sources'!$D$6:$D$66,MATCH("Q2",'Sources'!$A$6:$A$66,0))&amp;CHAR(10)&amp;INDEX('Sources'!$D$6:$D$66,MATCH("Q3",'Sources'!$A$6:$A$66,0))&amp;CHAR(10)&amp;INDEX('Sources'!$D$6:$D$66,MATCH("Q4",'Sources'!$A$6:$A$66,0))</x:f>
        <x:v>https://qwenlm.github.io/qwen-code-docs/en/users/common-workflow/
https://qwenlm.github.io/qwen-code-docs/en/users/features/goals/
https://qwenlm.github.io/qwen-code-docs/en/users/features/sub-agents/
https://qwenlm.github.io/qwen-code-docs/en/users/features/approval-mode/</x:v>
      </x:c>
    </x:row>
    <x:row r="263" ht="68.25" customHeight="1">
      <x:c r="A263" s="22" t="str">
        <x:v>F18</x:v>
      </x:c>
      <x:c r="B263" s="22" t="str">
        <x:v>QWEN</x:v>
      </x:c>
      <x:c r="C263" s="30" t="n">
        <x:f>INDEX('Matrix'!$C$6:$P$35,MATCH(A263,'Matrix'!$A$6:$A$35,0),MATCH(B263,'Matrix'!$C$4:$P$4,0))</x:f>
        <x:v>2</x:v>
      </x:c>
      <x:c r="D263" s="22" t="str">
        <x:v>Independent assessment</x:v>
      </x:c>
      <x:c r="E263" s="22" t="str">
        <x:v>Qwen Code</x:v>
      </x:c>
      <x:c r="F263" s="22" t="str">
        <x:v>Independent Goal verifier reads a bounded transcript; it cannot inspect the live workspace.</x:v>
      </x:c>
      <x:c r="G263" s="22" t="str">
        <x:v>Published coverage; analyst judgment</x:v>
      </x:c>
      <x:c r="H263" s="22" t="str">
        <x:v>Q1, Q2, Q3, Q4</x:v>
      </x:c>
      <x:c r="I263" s="50" t="str">
        <x:f>INDEX('Sources'!$D$6:$D$66,MATCH("Q1",'Sources'!$A$6:$A$66,0))&amp;CHAR(10)&amp;INDEX('Sources'!$D$6:$D$66,MATCH("Q2",'Sources'!$A$6:$A$66,0))&amp;CHAR(10)&amp;INDEX('Sources'!$D$6:$D$66,MATCH("Q3",'Sources'!$A$6:$A$66,0))&amp;CHAR(10)&amp;INDEX('Sources'!$D$6:$D$66,MATCH("Q4",'Sources'!$A$6:$A$66,0))</x:f>
        <x:v>https://qwenlm.github.io/qwen-code-docs/en/users/common-workflow/
https://qwenlm.github.io/qwen-code-docs/en/users/features/goals/
https://qwenlm.github.io/qwen-code-docs/en/users/features/sub-agents/
https://qwenlm.github.io/qwen-code-docs/en/users/features/approval-mode/</x:v>
      </x:c>
    </x:row>
    <x:row r="264" ht="68.25" customHeight="1">
      <x:c r="A264" s="22" t="str">
        <x:v>F19</x:v>
      </x:c>
      <x:c r="B264" s="22" t="str">
        <x:v>QWEN</x:v>
      </x:c>
      <x:c r="C264" s="30" t="n">
        <x:f>INDEX('Matrix'!$C$6:$P$35,MATCH(A264,'Matrix'!$A$6:$A$35,0),MATCH(B264,'Matrix'!$C$4:$P$4,0))</x:f>
        <x:v>3</x:v>
      </x:c>
      <x:c r="D264" s="22" t="str">
        <x:v>Operational and negative tests</x:v>
      </x:c>
      <x:c r="E264" s="22" t="str">
        <x:v>Qwen Code</x:v>
      </x:c>
      <x:c r="F264" s="22" t="str">
        <x:v>Transcript verifier, specialist reviews, tests and configurable permissions.</x:v>
      </x:c>
      <x:c r="G264" s="22" t="str">
        <x:v>Published coverage; analyst judgment</x:v>
      </x:c>
      <x:c r="H264" s="22" t="str">
        <x:v>Q1, Q2, Q3, Q4</x:v>
      </x:c>
      <x:c r="I264" s="50" t="str">
        <x:f>INDEX('Sources'!$D$6:$D$66,MATCH("Q1",'Sources'!$A$6:$A$66,0))&amp;CHAR(10)&amp;INDEX('Sources'!$D$6:$D$66,MATCH("Q2",'Sources'!$A$6:$A$66,0))&amp;CHAR(10)&amp;INDEX('Sources'!$D$6:$D$66,MATCH("Q3",'Sources'!$A$6:$A$66,0))&amp;CHAR(10)&amp;INDEX('Sources'!$D$6:$D$66,MATCH("Q4",'Sources'!$A$6:$A$66,0))</x:f>
        <x:v>https://qwenlm.github.io/qwen-code-docs/en/users/common-workflow/
https://qwenlm.github.io/qwen-code-docs/en/users/features/goals/
https://qwenlm.github.io/qwen-code-docs/en/users/features/sub-agents/
https://qwenlm.github.io/qwen-code-docs/en/users/features/approval-mode/</x:v>
      </x:c>
    </x:row>
    <x:row r="265" ht="68.25" customHeight="1">
      <x:c r="A265" s="22" t="str">
        <x:v>F20</x:v>
      </x:c>
      <x:c r="B265" s="22" t="str">
        <x:v>QWEN</x:v>
      </x:c>
      <x:c r="C265" s="30" t="n">
        <x:f>INDEX('Matrix'!$C$6:$P$35,MATCH(A265,'Matrix'!$A$6:$A$35,0),MATCH(B265,'Matrix'!$C$4:$P$4,0))</x:f>
        <x:v>2</x:v>
      </x:c>
      <x:c r="D265" s="22" t="str">
        <x:v>Claim and evidence separation</x:v>
      </x:c>
      <x:c r="E265" s="22" t="str">
        <x:v>Qwen Code</x:v>
      </x:c>
      <x:c r="F265" s="22" t="str">
        <x:v>Transcript verifier, specialist reviews, tests and configurable permissions.</x:v>
      </x:c>
      <x:c r="G265" s="22" t="str">
        <x:v>Published coverage; analyst judgment</x:v>
      </x:c>
      <x:c r="H265" s="22" t="str">
        <x:v>Q1, Q2, Q3, Q4</x:v>
      </x:c>
      <x:c r="I265" s="50" t="str">
        <x:f>INDEX('Sources'!$D$6:$D$66,MATCH("Q1",'Sources'!$A$6:$A$66,0))&amp;CHAR(10)&amp;INDEX('Sources'!$D$6:$D$66,MATCH("Q2",'Sources'!$A$6:$A$66,0))&amp;CHAR(10)&amp;INDEX('Sources'!$D$6:$D$66,MATCH("Q3",'Sources'!$A$6:$A$66,0))&amp;CHAR(10)&amp;INDEX('Sources'!$D$6:$D$66,MATCH("Q4",'Sources'!$A$6:$A$66,0))</x:f>
        <x:v>https://qwenlm.github.io/qwen-code-docs/en/users/common-workflow/
https://qwenlm.github.io/qwen-code-docs/en/users/features/goals/
https://qwenlm.github.io/qwen-code-docs/en/users/features/sub-agents/
https://qwenlm.github.io/qwen-code-docs/en/users/features/approval-mode/</x:v>
      </x:c>
    </x:row>
    <x:row r="266" ht="68.25" customHeight="1">
      <x:c r="A266" s="22" t="str">
        <x:v>F21</x:v>
      </x:c>
      <x:c r="B266" s="22" t="str">
        <x:v>QWEN</x:v>
      </x:c>
      <x:c r="C266" s="30" t="n">
        <x:f>INDEX('Matrix'!$C$6:$P$35,MATCH(A266,'Matrix'!$A$6:$A$35,0),MATCH(B266,'Matrix'!$C$4:$P$4,0))</x:f>
        <x:v>3</x:v>
      </x:c>
      <x:c r="D266" s="22" t="str">
        <x:v>Provenance and auditability</x:v>
      </x:c>
      <x:c r="E266" s="22" t="str">
        <x:v>Qwen Code</x:v>
      </x:c>
      <x:c r="F266" s="22" t="str">
        <x:v>Transcript verifier, specialist reviews, tests and configurable permissions.</x:v>
      </x:c>
      <x:c r="G266" s="22" t="str">
        <x:v>Published coverage; analyst judgment</x:v>
      </x:c>
      <x:c r="H266" s="22" t="str">
        <x:v>Q1, Q2, Q3, Q4</x:v>
      </x:c>
      <x:c r="I266" s="50" t="str">
        <x:f>INDEX('Sources'!$D$6:$D$66,MATCH("Q1",'Sources'!$A$6:$A$66,0))&amp;CHAR(10)&amp;INDEX('Sources'!$D$6:$D$66,MATCH("Q2",'Sources'!$A$6:$A$66,0))&amp;CHAR(10)&amp;INDEX('Sources'!$D$6:$D$66,MATCH("Q3",'Sources'!$A$6:$A$66,0))&amp;CHAR(10)&amp;INDEX('Sources'!$D$6:$D$66,MATCH("Q4",'Sources'!$A$6:$A$66,0))</x:f>
        <x:v>https://qwenlm.github.io/qwen-code-docs/en/users/common-workflow/
https://qwenlm.github.io/qwen-code-docs/en/users/features/goals/
https://qwenlm.github.io/qwen-code-docs/en/users/features/sub-agents/
https://qwenlm.github.io/qwen-code-docs/en/users/features/approval-mode/</x:v>
      </x:c>
    </x:row>
    <x:row r="267" ht="46.5" customHeight="1">
      <x:c r="A267" s="22" t="str">
        <x:v>F22</x:v>
      </x:c>
      <x:c r="B267" s="22" t="str">
        <x:v>QWEN</x:v>
      </x:c>
      <x:c r="C267" s="30" t="n">
        <x:f>INDEX('Matrix'!$C$6:$P$35,MATCH(A267,'Matrix'!$A$6:$A$35,0),MATCH(B267,'Matrix'!$C$4:$P$4,0))</x:f>
        <x:v>1</x:v>
      </x:c>
      <x:c r="D267" s="22" t="str">
        <x:v>Change impact and specification revision</x:v>
      </x:c>
      <x:c r="E267" s="22" t="str">
        <x:v>Qwen Code</x:v>
      </x:c>
      <x:c r="F267" s="22" t="str">
        <x:v>Goal edits and resumed history support revision; dependency-aware retention of unaffected accepted results is not established.</x:v>
      </x:c>
      <x:c r="G267" s="22" t="str">
        <x:v>Published coverage; analyst judgment</x:v>
      </x:c>
      <x:c r="H267" s="22" t="str">
        <x:v>Q2</x:v>
      </x:c>
      <x:c r="I267" s="50" t="str">
        <x:f>INDEX('Sources'!$D$6:$D$66,MATCH("Q2",'Sources'!$A$6:$A$66,0))</x:f>
        <x:v>https://qwenlm.github.io/qwen-code-docs/en/users/features/goals/</x:v>
      </x:c>
    </x:row>
    <x:row r="268" ht="46.5" customHeight="1">
      <x:c r="A268" s="22" t="str">
        <x:v>F23</x:v>
      </x:c>
      <x:c r="B268" s="22" t="str">
        <x:v>QWEN</x:v>
      </x:c>
      <x:c r="C268" s="30" t="str">
        <x:f>INDEX('Matrix'!$C$6:$P$35,MATCH(A268,'Matrix'!$A$6:$A$35,0),MATCH(B268,'Matrix'!$C$4:$P$4,0))</x:f>
        <x:v>U</x:v>
      </x:c>
      <x:c r="D268" s="22" t="str">
        <x:v>Versioned release and adoption</x:v>
      </x:c>
      <x:c r="E268" s="22" t="str">
        <x:v>Qwen Code</x:v>
      </x:c>
      <x:c r="F268" s="22" t="str">
        <x:v>PR/CI utilities do not establish product release qualification and adoption of a changed governing basis.</x:v>
      </x:c>
      <x:c r="G268" s="22" t="str">
        <x:v>Published coverage; analyst judgment</x:v>
      </x:c>
      <x:c r="H268" s="22" t="str">
        <x:v>Q1</x:v>
      </x:c>
      <x:c r="I268" s="50" t="str">
        <x:f>INDEX('Sources'!$D$6:$D$66,MATCH("Q1",'Sources'!$A$6:$A$66,0))</x:f>
        <x:v>https://qwenlm.github.io/qwen-code-docs/en/users/common-workflow/</x:v>
      </x:c>
    </x:row>
    <x:row r="269" ht="54" customHeight="1">
      <x:c r="A269" s="22" t="str">
        <x:v>F24</x:v>
      </x:c>
      <x:c r="B269" s="22" t="str">
        <x:v>QWEN</x:v>
      </x:c>
      <x:c r="C269" s="30" t="n">
        <x:f>INDEX('Matrix'!$C$6:$P$35,MATCH(A269,'Matrix'!$A$6:$A$35,0),MATCH(B269,'Matrix'!$C$4:$P$4,0))</x:f>
        <x:v>3</x:v>
      </x:c>
      <x:c r="D269" s="22" t="str">
        <x:v>Reuse and extensibility</x:v>
      </x:c>
      <x:c r="E269" s="22" t="str">
        <x:v>Qwen Code</x:v>
      </x:c>
      <x:c r="F269" s="22" t="str">
        <x:v>Custom agents, external executors, MCP and Unix-style composition.</x:v>
      </x:c>
      <x:c r="G269" s="22" t="str">
        <x:v>Published coverage; analyst judgment</x:v>
      </x:c>
      <x:c r="H269" s="22" t="str">
        <x:v>Q1, Q2, Q3</x:v>
      </x:c>
      <x:c r="I269" s="50" t="str">
        <x:f>INDEX('Sources'!$D$6:$D$66,MATCH("Q1",'Sources'!$A$6:$A$66,0))&amp;CHAR(10)&amp;INDEX('Sources'!$D$6:$D$66,MATCH("Q2",'Sources'!$A$6:$A$66,0))&amp;CHAR(10)&amp;INDEX('Sources'!$D$6:$D$66,MATCH("Q3",'Sources'!$A$6:$A$66,0))</x:f>
        <x:v>https://qwenlm.github.io/qwen-code-docs/en/users/common-workflow/
https://qwenlm.github.io/qwen-code-docs/en/users/features/goals/
https://qwenlm.github.io/qwen-code-docs/en/users/features/sub-agents/</x:v>
      </x:c>
    </x:row>
    <x:row r="270" ht="46.5" customHeight="1">
      <x:c r="A270" s="22" t="str">
        <x:v>F25</x:v>
      </x:c>
      <x:c r="B270" s="22" t="str">
        <x:v>QWEN</x:v>
      </x:c>
      <x:c r="C270" s="30" t="n">
        <x:f>INDEX('Matrix'!$C$6:$P$35,MATCH(A270,'Matrix'!$A$6:$A$35,0),MATCH(B270,'Matrix'!$C$4:$P$4,0))</x:f>
        <x:v>2</x:v>
      </x:c>
      <x:c r="D270" s="22" t="str">
        <x:v>Process use beyond software</x:v>
      </x:c>
      <x:c r="E270" s="22" t="str">
        <x:v>Qwen Code</x:v>
      </x:c>
      <x:c r="F270" s="22" t="str">
        <x:v>Goals and text/data utilities support scoped non-coding use; a comprehensive non-software process is not established.</x:v>
      </x:c>
      <x:c r="G270" s="22" t="str">
        <x:v>Published coverage; analyst judgment</x:v>
      </x:c>
      <x:c r="H270" s="22" t="str">
        <x:v>Q1, Q2</x:v>
      </x:c>
      <x:c r="I270" s="50" t="str">
        <x:f>INDEX('Sources'!$D$6:$D$66,MATCH("Q1",'Sources'!$A$6:$A$66,0))&amp;CHAR(10)&amp;INDEX('Sources'!$D$6:$D$66,MATCH("Q2",'Sources'!$A$6:$A$66,0))</x:f>
        <x:v>https://qwenlm.github.io/qwen-code-docs/en/users/common-workflow/
https://qwenlm.github.io/qwen-code-docs/en/users/features/goals/</x:v>
      </x:c>
    </x:row>
    <x:row r="271" ht="54" customHeight="1">
      <x:c r="A271" s="22" t="str">
        <x:v>F26</x:v>
      </x:c>
      <x:c r="B271" s="22" t="str">
        <x:v>QWEN</x:v>
      </x:c>
      <x:c r="C271" s="30" t="str">
        <x:f>INDEX('Matrix'!$C$6:$P$35,MATCH(A271,'Matrix'!$A$6:$A$35,0),MATCH(B271,'Matrix'!$C$4:$P$4,0))</x:f>
        <x:v>U</x:v>
      </x:c>
      <x:c r="D271" s="22" t="str">
        <x:v>Self-application</x:v>
      </x:c>
      <x:c r="E271" s="22" t="str">
        <x:v>Qwen Code</x:v>
      </x:c>
      <x:c r="F271" s="22" t="str">
        <x:v>Inspected sources do not establish qualified method self-use.</x:v>
      </x:c>
      <x:c r="G271" s="22" t="str">
        <x:v>Published coverage; analyst judgment</x:v>
      </x:c>
      <x:c r="H271" s="22" t="str">
        <x:v>Q1, Q2, Q3</x:v>
      </x:c>
      <x:c r="I271" s="50" t="str">
        <x:f>INDEX('Sources'!$D$6:$D$66,MATCH("Q1",'Sources'!$A$6:$A$66,0))&amp;CHAR(10)&amp;INDEX('Sources'!$D$6:$D$66,MATCH("Q2",'Sources'!$A$6:$A$66,0))&amp;CHAR(10)&amp;INDEX('Sources'!$D$6:$D$66,MATCH("Q3",'Sources'!$A$6:$A$66,0))</x:f>
        <x:v>https://qwenlm.github.io/qwen-code-docs/en/users/common-workflow/
https://qwenlm.github.io/qwen-code-docs/en/users/features/goals/
https://qwenlm.github.io/qwen-code-docs/en/users/features/sub-agents/</x:v>
      </x:c>
    </x:row>
    <x:row r="272" ht="54" customHeight="1">
      <x:c r="A272" s="22" t="str">
        <x:v>F27</x:v>
      </x:c>
      <x:c r="B272" s="22" t="str">
        <x:v>QWEN</x:v>
      </x:c>
      <x:c r="C272" s="30" t="n">
        <x:f>INDEX('Matrix'!$C$6:$P$35,MATCH(A272,'Matrix'!$A$6:$A$35,0),MATCH(B272,'Matrix'!$C$4:$P$4,0))</x:f>
        <x:v>2</x:v>
      </x:c>
      <x:c r="D272" s="22" t="str">
        <x:v>AI-native method representation</x:v>
      </x:c>
      <x:c r="E272" s="22" t="str">
        <x:v>Qwen Code</x:v>
      </x:c>
      <x:c r="F272" s="22" t="str">
        <x:v>Custom agents, external executors, MCP and Unix-style composition.</x:v>
      </x:c>
      <x:c r="G272" s="22" t="str">
        <x:v>Published coverage; analyst judgment</x:v>
      </x:c>
      <x:c r="H272" s="22" t="str">
        <x:v>Q1, Q2, Q3</x:v>
      </x:c>
      <x:c r="I272" s="50" t="str">
        <x:f>INDEX('Sources'!$D$6:$D$66,MATCH("Q1",'Sources'!$A$6:$A$66,0))&amp;CHAR(10)&amp;INDEX('Sources'!$D$6:$D$66,MATCH("Q2",'Sources'!$A$6:$A$66,0))&amp;CHAR(10)&amp;INDEX('Sources'!$D$6:$D$66,MATCH("Q3",'Sources'!$A$6:$A$66,0))</x:f>
        <x:v>https://qwenlm.github.io/qwen-code-docs/en/users/common-workflow/
https://qwenlm.github.io/qwen-code-docs/en/users/features/goals/
https://qwenlm.github.io/qwen-code-docs/en/users/features/sub-agents/</x:v>
      </x:c>
    </x:row>
    <x:row r="273" ht="54" customHeight="1">
      <x:c r="A273" s="22" t="str">
        <x:v>F28</x:v>
      </x:c>
      <x:c r="B273" s="22" t="str">
        <x:v>QWEN</x:v>
      </x:c>
      <x:c r="C273" s="30" t="n">
        <x:f>INDEX('Matrix'!$C$6:$P$35,MATCH(A273,'Matrix'!$A$6:$A$35,0),MATCH(B273,'Matrix'!$C$4:$P$4,0))</x:f>
        <x:v>3</x:v>
      </x:c>
      <x:c r="D273" s="22" t="str">
        <x:v>Onboarding and reader guidance</x:v>
      </x:c>
      <x:c r="E273" s="22" t="str">
        <x:v>Qwen Code</x:v>
      </x:c>
      <x:c r="F273" s="22" t="str">
        <x:v>Custom agents, external executors, MCP and Unix-style composition.</x:v>
      </x:c>
      <x:c r="G273" s="22" t="str">
        <x:v>Published coverage; analyst judgment</x:v>
      </x:c>
      <x:c r="H273" s="22" t="str">
        <x:v>Q1, Q2, Q3</x:v>
      </x:c>
      <x:c r="I273" s="50" t="str">
        <x:f>INDEX('Sources'!$D$6:$D$66,MATCH("Q1",'Sources'!$A$6:$A$66,0))&amp;CHAR(10)&amp;INDEX('Sources'!$D$6:$D$66,MATCH("Q2",'Sources'!$A$6:$A$66,0))&amp;CHAR(10)&amp;INDEX('Sources'!$D$6:$D$66,MATCH("Q3",'Sources'!$A$6:$A$66,0))</x:f>
        <x:v>https://qwenlm.github.io/qwen-code-docs/en/users/common-workflow/
https://qwenlm.github.io/qwen-code-docs/en/users/features/goals/
https://qwenlm.github.io/qwen-code-docs/en/users/features/sub-agents/</x:v>
      </x:c>
    </x:row>
    <x:row r="274" ht="54" customHeight="1">
      <x:c r="A274" s="22" t="str">
        <x:v>F29</x:v>
      </x:c>
      <x:c r="B274" s="22" t="str">
        <x:v>QWEN</x:v>
      </x:c>
      <x:c r="C274" s="30" t="str">
        <x:f>INDEX('Matrix'!$C$6:$P$35,MATCH(A274,'Matrix'!$A$6:$A$35,0),MATCH(B274,'Matrix'!$C$4:$P$4,0))</x:f>
        <x:v>U</x:v>
      </x:c>
      <x:c r="D274" s="22" t="str">
        <x:v>Evidence of effectiveness</x:v>
      </x:c>
      <x:c r="E274" s="22" t="str">
        <x:v>Qwen Code</x:v>
      </x:c>
      <x:c r="F274" s="22" t="str">
        <x:v>Inspected sources do not establish whole-method effectiveness.</x:v>
      </x:c>
      <x:c r="G274" s="22" t="str">
        <x:v>Published coverage; analyst judgment</x:v>
      </x:c>
      <x:c r="H274" s="22" t="str">
        <x:v>Q1, Q2, Q3</x:v>
      </x:c>
      <x:c r="I274" s="50" t="str">
        <x:f>INDEX('Sources'!$D$6:$D$66,MATCH("Q1",'Sources'!$A$6:$A$66,0))&amp;CHAR(10)&amp;INDEX('Sources'!$D$6:$D$66,MATCH("Q2",'Sources'!$A$6:$A$66,0))&amp;CHAR(10)&amp;INDEX('Sources'!$D$6:$D$66,MATCH("Q3",'Sources'!$A$6:$A$66,0))</x:f>
        <x:v>https://qwenlm.github.io/qwen-code-docs/en/users/common-workflow/
https://qwenlm.github.io/qwen-code-docs/en/users/features/goals/
https://qwenlm.github.io/qwen-code-docs/en/users/features/sub-agents/</x:v>
      </x:c>
    </x:row>
    <x:row r="275" ht="46.5" customHeight="1">
      <x:c r="A275" s="22" t="str">
        <x:v>F30</x:v>
      </x:c>
      <x:c r="B275" s="22" t="str">
        <x:v>QWEN</x:v>
      </x:c>
      <x:c r="C275" s="30" t="n">
        <x:f>INDEX('Matrix'!$C$6:$P$35,MATCH(A275,'Matrix'!$A$6:$A$35,0),MATCH(B275,'Matrix'!$C$4:$P$4,0))</x:f>
        <x:v>3</x:v>
      </x:c>
      <x:c r="D275" s="22" t="str">
        <x:v>Work and resource measurement</x:v>
      </x:c>
      <x:c r="E275" s="22" t="str">
        <x:v>Qwen Code</x:v>
      </x:c>
      <x:c r="F275" s="22" t="str">
        <x:v>Turn/time limits and usage records are explicit; Goal accounting excludes nested/background agents and unrelated turns.</x:v>
      </x:c>
      <x:c r="G275" s="22" t="str">
        <x:v>Published coverage; analyst judgment</x:v>
      </x:c>
      <x:c r="H275" s="22" t="str">
        <x:v>Q2</x:v>
      </x:c>
      <x:c r="I275" s="50" t="str">
        <x:f>INDEX('Sources'!$D$6:$D$66,MATCH("Q2",'Sources'!$A$6:$A$66,0))</x:f>
        <x:v>https://qwenlm.github.io/qwen-code-docs/en/users/features/goals/</x:v>
      </x:c>
    </x:row>
    <x:row r="276" ht="46.5" customHeight="1">
      <x:c r="A276" s="22" t="str">
        <x:v>F01</x:v>
      </x:c>
      <x:c r="B276" s="22" t="str">
        <x:v>BUDDY</x:v>
      </x:c>
      <x:c r="C276" s="30" t="n">
        <x:f>INDEX('Matrix'!$C$6:$P$35,MATCH(A276,'Matrix'!$A$6:$A$35,0),MATCH(B276,'Matrix'!$C$4:$P$4,0))</x:f>
        <x:v>3</x:v>
      </x:c>
      <x:c r="D276" s="22" t="str">
        <x:v>Intent and success criteria</x:v>
      </x:c>
      <x:c r="E276" s="22" t="str">
        <x:v>CodeBuddy workflows</x:v>
      </x:c>
      <x:c r="F276" s="22" t="str">
        <x:v>Plans describe boundaries, architecture, data flow and ordered tasks; SPEC interviews are optional.</x:v>
      </x:c>
      <x:c r="G276" s="22" t="str">
        <x:v>Published coverage; analyst judgment</x:v>
      </x:c>
      <x:c r="H276" s="22" t="str">
        <x:v>C1, C2</x:v>
      </x:c>
      <x:c r="I276" s="50" t="str">
        <x:f>INDEX('Sources'!$D$6:$D$66,MATCH("C1",'Sources'!$A$6:$A$66,0))&amp;CHAR(10)&amp;INDEX('Sources'!$D$6:$D$66,MATCH("C2",'Sources'!$A$6:$A$66,0))</x:f>
        <x:v>https://www.codebuddy.cn/docs/ide/Features/Plan-Mode
https://www.codebuddy.cn/docs/cli/best-practices</x:v>
      </x:c>
    </x:row>
    <x:row r="277" ht="46.5" customHeight="1">
      <x:c r="A277" s="22" t="str">
        <x:v>F02</x:v>
      </x:c>
      <x:c r="B277" s="22" t="str">
        <x:v>BUDDY</x:v>
      </x:c>
      <x:c r="C277" s="30" t="n">
        <x:f>INDEX('Matrix'!$C$6:$P$35,MATCH(A277,'Matrix'!$A$6:$A$35,0),MATCH(B277,'Matrix'!$C$4:$P$4,0))</x:f>
        <x:v>2</x:v>
      </x:c>
      <x:c r="D277" s="22" t="str">
        <x:v>Product definition and scope</x:v>
      </x:c>
      <x:c r="E277" s="22" t="str">
        <x:v>CodeBuddy workflows</x:v>
      </x:c>
      <x:c r="F277" s="22" t="str">
        <x:v>Plans describe boundaries, architecture, data flow and ordered tasks; SPEC interviews are optional.</x:v>
      </x:c>
      <x:c r="G277" s="22" t="str">
        <x:v>Published coverage; analyst judgment</x:v>
      </x:c>
      <x:c r="H277" s="22" t="str">
        <x:v>C1, C2</x:v>
      </x:c>
      <x:c r="I277" s="50" t="str">
        <x:f>INDEX('Sources'!$D$6:$D$66,MATCH("C1",'Sources'!$A$6:$A$66,0))&amp;CHAR(10)&amp;INDEX('Sources'!$D$6:$D$66,MATCH("C2",'Sources'!$A$6:$A$66,0))</x:f>
        <x:v>https://www.codebuddy.cn/docs/ide/Features/Plan-Mode
https://www.codebuddy.cn/docs/cli/best-practices</x:v>
      </x:c>
    </x:row>
    <x:row r="278" ht="46.5" customHeight="1">
      <x:c r="A278" s="22" t="str">
        <x:v>F03</x:v>
      </x:c>
      <x:c r="B278" s="22" t="str">
        <x:v>BUDDY</x:v>
      </x:c>
      <x:c r="C278" s="30" t="n">
        <x:f>INDEX('Matrix'!$C$6:$P$35,MATCH(A278,'Matrix'!$A$6:$A$35,0),MATCH(B278,'Matrix'!$C$4:$P$4,0))</x:f>
        <x:v>3</x:v>
      </x:c>
      <x:c r="D278" s="22" t="str">
        <x:v>Requirements before construction</x:v>
      </x:c>
      <x:c r="E278" s="22" t="str">
        <x:v>CodeBuddy workflows</x:v>
      </x:c>
      <x:c r="F278" s="22" t="str">
        <x:v>Plans describe boundaries, architecture, data flow and ordered tasks; SPEC interviews are optional.</x:v>
      </x:c>
      <x:c r="G278" s="22" t="str">
        <x:v>Published coverage; analyst judgment</x:v>
      </x:c>
      <x:c r="H278" s="22" t="str">
        <x:v>C1, C2</x:v>
      </x:c>
      <x:c r="I278" s="50" t="str">
        <x:f>INDEX('Sources'!$D$6:$D$66,MATCH("C1",'Sources'!$A$6:$A$66,0))&amp;CHAR(10)&amp;INDEX('Sources'!$D$6:$D$66,MATCH("C2",'Sources'!$A$6:$A$66,0))</x:f>
        <x:v>https://www.codebuddy.cn/docs/ide/Features/Plan-Mode
https://www.codebuddy.cn/docs/cli/best-practices</x:v>
      </x:c>
    </x:row>
    <x:row r="279" ht="46.5" customHeight="1">
      <x:c r="A279" s="22" t="str">
        <x:v>F04</x:v>
      </x:c>
      <x:c r="B279" s="22" t="str">
        <x:v>BUDDY</x:v>
      </x:c>
      <x:c r="C279" s="30" t="n">
        <x:f>INDEX('Matrix'!$C$6:$P$35,MATCH(A279,'Matrix'!$A$6:$A$35,0),MATCH(B279,'Matrix'!$C$4:$P$4,0))</x:f>
        <x:v>3</x:v>
      </x:c>
      <x:c r="D279" s="22" t="str">
        <x:v>Design separated from requirements</x:v>
      </x:c>
      <x:c r="E279" s="22" t="str">
        <x:v>CodeBuddy workflows</x:v>
      </x:c>
      <x:c r="F279" s="22" t="str">
        <x:v>Plans describe boundaries, architecture, data flow and ordered tasks; SPEC interviews are optional.</x:v>
      </x:c>
      <x:c r="G279" s="22" t="str">
        <x:v>Published coverage; analyst judgment</x:v>
      </x:c>
      <x:c r="H279" s="22" t="str">
        <x:v>C1, C2</x:v>
      </x:c>
      <x:c r="I279" s="50" t="str">
        <x:f>INDEX('Sources'!$D$6:$D$66,MATCH("C1",'Sources'!$A$6:$A$66,0))&amp;CHAR(10)&amp;INDEX('Sources'!$D$6:$D$66,MATCH("C2",'Sources'!$A$6:$A$66,0))</x:f>
        <x:v>https://www.codebuddy.cn/docs/ide/Features/Plan-Mode
https://www.codebuddy.cn/docs/cli/best-practices</x:v>
      </x:c>
    </x:row>
    <x:row r="280" ht="46.5" customHeight="1">
      <x:c r="A280" s="22" t="str">
        <x:v>F05</x:v>
      </x:c>
      <x:c r="B280" s="22" t="str">
        <x:v>BUDDY</x:v>
      </x:c>
      <x:c r="C280" s="30" t="n">
        <x:f>INDEX('Matrix'!$C$6:$P$35,MATCH(A280,'Matrix'!$A$6:$A$35,0),MATCH(B280,'Matrix'!$C$4:$P$4,0))</x:f>
        <x:v>2</x:v>
      </x:c>
      <x:c r="D280" s="22" t="str">
        <x:v>Traceability across stages</x:v>
      </x:c>
      <x:c r="E280" s="22" t="str">
        <x:v>CodeBuddy workflows</x:v>
      </x:c>
      <x:c r="F280" s="22" t="str">
        <x:v>Plans describe boundaries, architecture, data flow and ordered tasks; SPEC interviews are optional.</x:v>
      </x:c>
      <x:c r="G280" s="22" t="str">
        <x:v>Published coverage; analyst judgment</x:v>
      </x:c>
      <x:c r="H280" s="22" t="str">
        <x:v>C1, C2</x:v>
      </x:c>
      <x:c r="I280" s="50" t="str">
        <x:f>INDEX('Sources'!$D$6:$D$66,MATCH("C1",'Sources'!$A$6:$A$66,0))&amp;CHAR(10)&amp;INDEX('Sources'!$D$6:$D$66,MATCH("C2",'Sources'!$A$6:$A$66,0))</x:f>
        <x:v>https://www.codebuddy.cn/docs/ide/Features/Plan-Mode
https://www.codebuddy.cn/docs/cli/best-practices</x:v>
      </x:c>
    </x:row>
    <x:row r="281" ht="46.5" customHeight="1">
      <x:c r="A281" s="22" t="str">
        <x:v>F06</x:v>
      </x:c>
      <x:c r="B281" s="22" t="str">
        <x:v>BUDDY</x:v>
      </x:c>
      <x:c r="C281" s="30" t="str">
        <x:f>INDEX('Matrix'!$C$6:$P$35,MATCH(A281,'Matrix'!$A$6:$A$35,0),MATCH(B281,'Matrix'!$C$4:$P$4,0))</x:f>
        <x:v>U</x:v>
      </x:c>
      <x:c r="D281" s="22" t="str">
        <x:v>Domain concepts and identity</x:v>
      </x:c>
      <x:c r="E281" s="22" t="str">
        <x:v>CodeBuddy workflows</x:v>
      </x:c>
      <x:c r="F281" s="22" t="str">
        <x:v>Project instructions and configuration do not establish contextual ownership of domain meaning.</x:v>
      </x:c>
      <x:c r="G281" s="22" t="str">
        <x:v>Published coverage; analyst judgment</x:v>
      </x:c>
      <x:c r="H281" s="22" t="str">
        <x:v>C2</x:v>
      </x:c>
      <x:c r="I281" s="50" t="str">
        <x:f>INDEX('Sources'!$D$6:$D$66,MATCH("C2",'Sources'!$A$6:$A$66,0))</x:f>
        <x:v>https://www.codebuddy.cn/docs/cli/best-practices</x:v>
      </x:c>
    </x:row>
    <x:row r="282" ht="46.5" customHeight="1">
      <x:c r="A282" s="22" t="str">
        <x:v>F07</x:v>
      </x:c>
      <x:c r="B282" s="22" t="str">
        <x:v>BUDDY</x:v>
      </x:c>
      <x:c r="C282" s="30" t="n">
        <x:f>INDEX('Matrix'!$C$6:$P$35,MATCH(A282,'Matrix'!$A$6:$A$35,0),MATCH(B282,'Matrix'!$C$4:$P$4,0))</x:f>
        <x:v>2</x:v>
      </x:c>
      <x:c r="D282" s="22" t="str">
        <x:v>Explicit inputs, outputs and contracts</x:v>
      </x:c>
      <x:c r="E282" s="22" t="str">
        <x:v>CodeBuddy workflows</x:v>
      </x:c>
      <x:c r="F282" s="22" t="str">
        <x:v>Project instructions and deterministic hooks; semantic composition law not established.</x:v>
      </x:c>
      <x:c r="G282" s="22" t="str">
        <x:v>Published coverage; analyst judgment</x:v>
      </x:c>
      <x:c r="H282" s="22" t="str">
        <x:v>C1, C2</x:v>
      </x:c>
      <x:c r="I282" s="50" t="str">
        <x:f>INDEX('Sources'!$D$6:$D$66,MATCH("C1",'Sources'!$A$6:$A$66,0))&amp;CHAR(10)&amp;INDEX('Sources'!$D$6:$D$66,MATCH("C2",'Sources'!$A$6:$A$66,0))</x:f>
        <x:v>https://www.codebuddy.cn/docs/ide/Features/Plan-Mode
https://www.codebuddy.cn/docs/cli/best-practices</x:v>
      </x:c>
    </x:row>
    <x:row r="283" ht="46.5" customHeight="1">
      <x:c r="A283" s="22" t="str">
        <x:v>F08</x:v>
      </x:c>
      <x:c r="B283" s="22" t="str">
        <x:v>BUDDY</x:v>
      </x:c>
      <x:c r="C283" s="30" t="n">
        <x:f>INDEX('Matrix'!$C$6:$P$35,MATCH(A283,'Matrix'!$A$6:$A$35,0),MATCH(B283,'Matrix'!$C$4:$P$4,0))</x:f>
        <x:v>2</x:v>
      </x:c>
      <x:c r="D283" s="22" t="str">
        <x:v>Invariants and semantic constraints</x:v>
      </x:c>
      <x:c r="E283" s="22" t="str">
        <x:v>CodeBuddy workflows</x:v>
      </x:c>
      <x:c r="F283" s="22" t="str">
        <x:v>Project instructions and deterministic hooks; semantic composition law not established.</x:v>
      </x:c>
      <x:c r="G283" s="22" t="str">
        <x:v>Published coverage; analyst judgment</x:v>
      </x:c>
      <x:c r="H283" s="22" t="str">
        <x:v>C1, C2</x:v>
      </x:c>
      <x:c r="I283" s="50" t="str">
        <x:f>INDEX('Sources'!$D$6:$D$66,MATCH("C1",'Sources'!$A$6:$A$66,0))&amp;CHAR(10)&amp;INDEX('Sources'!$D$6:$D$66,MATCH("C2",'Sources'!$A$6:$A$66,0))</x:f>
        <x:v>https://www.codebuddy.cn/docs/ide/Features/Plan-Mode
https://www.codebuddy.cn/docs/cli/best-practices</x:v>
      </x:c>
    </x:row>
    <x:row r="284" ht="46.5" customHeight="1">
      <x:c r="A284" s="22" t="str">
        <x:v>F09</x:v>
      </x:c>
      <x:c r="B284" s="22" t="str">
        <x:v>BUDDY</x:v>
      </x:c>
      <x:c r="C284" s="30" t="str">
        <x:f>INDEX('Matrix'!$C$6:$P$35,MATCH(A284,'Matrix'!$A$6:$A$35,0),MATCH(B284,'Matrix'!$C$4:$P$4,0))</x:f>
        <x:v>U</x:v>
      </x:c>
      <x:c r="D284" s="22" t="str">
        <x:v>Composition and formal reasoning</x:v>
      </x:c>
      <x:c r="E284" s="22" t="str">
        <x:v>CodeBuddy workflows</x:v>
      </x:c>
      <x:c r="F284" s="22" t="str">
        <x:v>Sequencing, extensions and hooks do not establish explicit compatibility, composition or derivation laws.</x:v>
      </x:c>
      <x:c r="G284" s="22" t="str">
        <x:v>Published coverage; analyst judgment</x:v>
      </x:c>
      <x:c r="H284" s="22" t="str">
        <x:v>C1, C2</x:v>
      </x:c>
      <x:c r="I284" s="50" t="str">
        <x:f>INDEX('Sources'!$D$6:$D$66,MATCH("C1",'Sources'!$A$6:$A$66,0))&amp;CHAR(10)&amp;INDEX('Sources'!$D$6:$D$66,MATCH("C2",'Sources'!$A$6:$A$66,0))</x:f>
        <x:v>https://www.codebuddy.cn/docs/ide/Features/Plan-Mode
https://www.codebuddy.cn/docs/cli/best-practices</x:v>
      </x:c>
    </x:row>
    <x:row r="285" ht="46.5" customHeight="1">
      <x:c r="A285" s="22" t="str">
        <x:v>F10</x:v>
      </x:c>
      <x:c r="B285" s="22" t="str">
        <x:v>BUDDY</x:v>
      </x:c>
      <x:c r="C285" s="30" t="n">
        <x:f>INDEX('Matrix'!$C$6:$P$35,MATCH(A285,'Matrix'!$A$6:$A$35,0),MATCH(B285,'Matrix'!$C$4:$P$4,0))</x:f>
        <x:v>3</x:v>
      </x:c>
      <x:c r="D285" s="22" t="str">
        <x:v>Relevant context selection</x:v>
      </x:c>
      <x:c r="E285" s="22" t="str">
        <x:v>CodeBuddy workflows</x:v>
      </x:c>
      <x:c r="F285" s="22" t="str">
        <x:v>One module per Plan, on-demand skills, compaction, separate contexts and checkpoints.</x:v>
      </x:c>
      <x:c r="G285" s="22" t="str">
        <x:v>Published coverage; analyst judgment</x:v>
      </x:c>
      <x:c r="H285" s="22" t="str">
        <x:v>C1, C2</x:v>
      </x:c>
      <x:c r="I285" s="50" t="str">
        <x:f>INDEX('Sources'!$D$6:$D$66,MATCH("C1",'Sources'!$A$6:$A$66,0))&amp;CHAR(10)&amp;INDEX('Sources'!$D$6:$D$66,MATCH("C2",'Sources'!$A$6:$A$66,0))</x:f>
        <x:v>https://www.codebuddy.cn/docs/ide/Features/Plan-Mode
https://www.codebuddy.cn/docs/cli/best-practices</x:v>
      </x:c>
    </x:row>
    <x:row r="286" ht="46.5" customHeight="1">
      <x:c r="A286" s="22" t="str">
        <x:v>F11</x:v>
      </x:c>
      <x:c r="B286" s="22" t="str">
        <x:v>BUDDY</x:v>
      </x:c>
      <x:c r="C286" s="30" t="n">
        <x:f>INDEX('Matrix'!$C$6:$P$35,MATCH(A286,'Matrix'!$A$6:$A$35,0),MATCH(B286,'Matrix'!$C$4:$P$4,0))</x:f>
        <x:v>3</x:v>
      </x:c>
      <x:c r="D286" s="22" t="str">
        <x:v>Attention fit and proportionality</x:v>
      </x:c>
      <x:c r="E286" s="22" t="str">
        <x:v>CodeBuddy workflows</x:v>
      </x:c>
      <x:c r="F286" s="22" t="str">
        <x:v>One module per Plan, on-demand skills, compaction, separate contexts and checkpoints.</x:v>
      </x:c>
      <x:c r="G286" s="22" t="str">
        <x:v>Published coverage; analyst judgment</x:v>
      </x:c>
      <x:c r="H286" s="22" t="str">
        <x:v>C1, C2</x:v>
      </x:c>
      <x:c r="I286" s="50" t="str">
        <x:f>INDEX('Sources'!$D$6:$D$66,MATCH("C1",'Sources'!$A$6:$A$66,0))&amp;CHAR(10)&amp;INDEX('Sources'!$D$6:$D$66,MATCH("C2",'Sources'!$A$6:$A$66,0))</x:f>
        <x:v>https://www.codebuddy.cn/docs/ide/Features/Plan-Mode
https://www.codebuddy.cn/docs/cli/best-practices</x:v>
      </x:c>
    </x:row>
    <x:row r="287" ht="46.5" customHeight="1">
      <x:c r="A287" s="22" t="str">
        <x:v>F12</x:v>
      </x:c>
      <x:c r="B287" s="22" t="str">
        <x:v>BUDDY</x:v>
      </x:c>
      <x:c r="C287" s="30" t="n">
        <x:f>INDEX('Matrix'!$C$6:$P$35,MATCH(A287,'Matrix'!$A$6:$A$35,0),MATCH(B287,'Matrix'!$C$4:$P$4,0))</x:f>
        <x:v>3</x:v>
      </x:c>
      <x:c r="D287" s="22" t="str">
        <x:v>Bounded probabilistic construction</x:v>
      </x:c>
      <x:c r="E287" s="22" t="str">
        <x:v>CodeBuddy workflows</x:v>
      </x:c>
      <x:c r="F287" s="22" t="str">
        <x:v>One module per Plan, on-demand skills, compaction, separate contexts and checkpoints.</x:v>
      </x:c>
      <x:c r="G287" s="22" t="str">
        <x:v>Published coverage; analyst judgment</x:v>
      </x:c>
      <x:c r="H287" s="22" t="str">
        <x:v>C1, C2</x:v>
      </x:c>
      <x:c r="I287" s="50" t="str">
        <x:f>INDEX('Sources'!$D$6:$D$66,MATCH("C1",'Sources'!$A$6:$A$66,0))&amp;CHAR(10)&amp;INDEX('Sources'!$D$6:$D$66,MATCH("C2",'Sources'!$A$6:$A$66,0))</x:f>
        <x:v>https://www.codebuddy.cn/docs/ide/Features/Plan-Mode
https://www.codebuddy.cn/docs/cli/best-practices</x:v>
      </x:c>
    </x:row>
    <x:row r="288" ht="46.5" customHeight="1">
      <x:c r="A288" s="22" t="str">
        <x:v>F13</x:v>
      </x:c>
      <x:c r="B288" s="22" t="str">
        <x:v>BUDDY</x:v>
      </x:c>
      <x:c r="C288" s="30" t="n">
        <x:f>INDEX('Matrix'!$C$6:$P$35,MATCH(A288,'Matrix'!$A$6:$A$35,0),MATCH(B288,'Matrix'!$C$4:$P$4,0))</x:f>
        <x:v>3</x:v>
      </x:c>
      <x:c r="D288" s="22" t="str">
        <x:v>Decomposition and recursive workflows</x:v>
      </x:c>
      <x:c r="E288" s="22" t="str">
        <x:v>CodeBuddy workflows</x:v>
      </x:c>
      <x:c r="F288" s="22" t="str">
        <x:v>One module per Plan, on-demand skills, compaction, separate contexts and checkpoints.</x:v>
      </x:c>
      <x:c r="G288" s="22" t="str">
        <x:v>Published coverage; analyst judgment</x:v>
      </x:c>
      <x:c r="H288" s="22" t="str">
        <x:v>C1, C2</x:v>
      </x:c>
      <x:c r="I288" s="50" t="str">
        <x:f>INDEX('Sources'!$D$6:$D$66,MATCH("C1",'Sources'!$A$6:$A$66,0))&amp;CHAR(10)&amp;INDEX('Sources'!$D$6:$D$66,MATCH("C2",'Sources'!$A$6:$A$66,0))</x:f>
        <x:v>https://www.codebuddy.cn/docs/ide/Features/Plan-Mode
https://www.codebuddy.cn/docs/cli/best-practices</x:v>
      </x:c>
    </x:row>
    <x:row r="289" ht="46.5" customHeight="1">
      <x:c r="A289" s="22" t="str">
        <x:v>F14</x:v>
      </x:c>
      <x:c r="B289" s="22" t="str">
        <x:v>BUDDY</x:v>
      </x:c>
      <x:c r="C289" s="30" t="n">
        <x:f>INDEX('Matrix'!$C$6:$P$35,MATCH(A289,'Matrix'!$A$6:$A$35,0),MATCH(B289,'Matrix'!$C$4:$P$4,0))</x:f>
        <x:v>3</x:v>
      </x:c>
      <x:c r="D289" s="22" t="str">
        <x:v>Durable state and resumption</x:v>
      </x:c>
      <x:c r="E289" s="22" t="str">
        <x:v>CodeBuddy workflows</x:v>
      </x:c>
      <x:c r="F289" s="22" t="str">
        <x:v>One module per Plan, on-demand skills, compaction, separate contexts and checkpoints.</x:v>
      </x:c>
      <x:c r="G289" s="22" t="str">
        <x:v>Published coverage; analyst judgment</x:v>
      </x:c>
      <x:c r="H289" s="22" t="str">
        <x:v>C1, C2</x:v>
      </x:c>
      <x:c r="I289" s="50" t="str">
        <x:f>INDEX('Sources'!$D$6:$D$66,MATCH("C1",'Sources'!$A$6:$A$66,0))&amp;CHAR(10)&amp;INDEX('Sources'!$D$6:$D$66,MATCH("C2",'Sources'!$A$6:$A$66,0))</x:f>
        <x:v>https://www.codebuddy.cn/docs/ide/Features/Plan-Mode
https://www.codebuddy.cn/docs/cli/best-practices</x:v>
      </x:c>
    </x:row>
    <x:row r="290" ht="46.5" customHeight="1">
      <x:c r="A290" s="22" t="str">
        <x:v>F15</x:v>
      </x:c>
      <x:c r="B290" s="22" t="str">
        <x:v>BUDDY</x:v>
      </x:c>
      <x:c r="C290" s="30" t="n">
        <x:f>INDEX('Matrix'!$C$6:$P$35,MATCH(A290,'Matrix'!$A$6:$A$35,0),MATCH(B290,'Matrix'!$C$4:$P$4,0))</x:f>
        <x:v>3</x:v>
      </x:c>
      <x:c r="D290" s="22" t="str">
        <x:v>Observation and next-action feedback</x:v>
      </x:c>
      <x:c r="E290" s="22" t="str">
        <x:v>CodeBuddy workflows</x:v>
      </x:c>
      <x:c r="F290" s="22" t="str">
        <x:v>One module per Plan, on-demand skills, compaction, separate contexts and checkpoints.</x:v>
      </x:c>
      <x:c r="G290" s="22" t="str">
        <x:v>Published coverage; analyst judgment</x:v>
      </x:c>
      <x:c r="H290" s="22" t="str">
        <x:v>C1, C2</x:v>
      </x:c>
      <x:c r="I290" s="50" t="str">
        <x:f>INDEX('Sources'!$D$6:$D$66,MATCH("C1",'Sources'!$A$6:$A$66,0))&amp;CHAR(10)&amp;INDEX('Sources'!$D$6:$D$66,MATCH("C2",'Sources'!$A$6:$A$66,0))</x:f>
        <x:v>https://www.codebuddy.cn/docs/ide/Features/Plan-Mode
https://www.codebuddy.cn/docs/cli/best-practices</x:v>
      </x:c>
    </x:row>
    <x:row r="291" ht="46.5" customHeight="1">
      <x:c r="A291" s="22" t="str">
        <x:v>F16</x:v>
      </x:c>
      <x:c r="B291" s="22" t="str">
        <x:v>BUDDY</x:v>
      </x:c>
      <x:c r="C291" s="30" t="n">
        <x:f>INDEX('Matrix'!$C$6:$P$35,MATCH(A291,'Matrix'!$A$6:$A$35,0),MATCH(B291,'Matrix'!$C$4:$P$4,0))</x:f>
        <x:v>2</x:v>
      </x:c>
      <x:c r="D291" s="22" t="str">
        <x:v>Uncertainty, stops and re-entry</x:v>
      </x:c>
      <x:c r="E291" s="22" t="str">
        <x:v>CodeBuddy workflows</x:v>
      </x:c>
      <x:c r="F291" s="22" t="str">
        <x:v>Clarification/interruption supported; formal blocked-state acceptance not established.</x:v>
      </x:c>
      <x:c r="G291" s="22" t="str">
        <x:v>Published coverage; analyst judgment</x:v>
      </x:c>
      <x:c r="H291" s="22" t="str">
        <x:v>C1, C2</x:v>
      </x:c>
      <x:c r="I291" s="50" t="str">
        <x:f>INDEX('Sources'!$D$6:$D$66,MATCH("C1",'Sources'!$A$6:$A$66,0))&amp;CHAR(10)&amp;INDEX('Sources'!$D$6:$D$66,MATCH("C2",'Sources'!$A$6:$A$66,0))</x:f>
        <x:v>https://www.codebuddy.cn/docs/ide/Features/Plan-Mode
https://www.codebuddy.cn/docs/cli/best-practices</x:v>
      </x:c>
    </x:row>
    <x:row r="292" ht="46.5" customHeight="1">
      <x:c r="A292" s="22" t="str">
        <x:v>F17</x:v>
      </x:c>
      <x:c r="B292" s="22" t="str">
        <x:v>BUDDY</x:v>
      </x:c>
      <x:c r="C292" s="30" t="n">
        <x:f>INDEX('Matrix'!$C$6:$P$35,MATCH(A292,'Matrix'!$A$6:$A$35,0),MATCH(B292,'Matrix'!$C$4:$P$4,0))</x:f>
        <x:v>3</x:v>
      </x:c>
      <x:c r="D292" s="22" t="str">
        <x:v>Permissions and effect boundaries</x:v>
      </x:c>
      <x:c r="E292" s="22" t="str">
        <x:v>CodeBuddy workflows</x:v>
      </x:c>
      <x:c r="F292" s="22" t="str">
        <x:v>Fresh writer/reviewer contexts, executable verification, permissions and sandbox.</x:v>
      </x:c>
      <x:c r="G292" s="22" t="str">
        <x:v>Published coverage; analyst judgment</x:v>
      </x:c>
      <x:c r="H292" s="22" t="str">
        <x:v>C2</x:v>
      </x:c>
      <x:c r="I292" s="50" t="str">
        <x:f>INDEX('Sources'!$D$6:$D$66,MATCH("C2",'Sources'!$A$6:$A$66,0))</x:f>
        <x:v>https://www.codebuddy.cn/docs/cli/best-practices</x:v>
      </x:c>
    </x:row>
    <x:row r="293" ht="46.5" customHeight="1">
      <x:c r="A293" s="22" t="str">
        <x:v>F18</x:v>
      </x:c>
      <x:c r="B293" s="22" t="str">
        <x:v>BUDDY</x:v>
      </x:c>
      <x:c r="C293" s="30" t="n">
        <x:f>INDEX('Matrix'!$C$6:$P$35,MATCH(A293,'Matrix'!$A$6:$A$35,0),MATCH(B293,'Matrix'!$C$4:$P$4,0))</x:f>
        <x:v>2</x:v>
      </x:c>
      <x:c r="D293" s="22" t="str">
        <x:v>Independent assessment</x:v>
      </x:c>
      <x:c r="E293" s="22" t="str">
        <x:v>CodeBuddy workflows</x:v>
      </x:c>
      <x:c r="F293" s="22" t="str">
        <x:v>Fresh writer/reviewer sessions are an optional documented pattern, rather than universal independent qualification.</x:v>
      </x:c>
      <x:c r="G293" s="22" t="str">
        <x:v>Published coverage; analyst judgment</x:v>
      </x:c>
      <x:c r="H293" s="22" t="str">
        <x:v>C2</x:v>
      </x:c>
      <x:c r="I293" s="50" t="str">
        <x:f>INDEX('Sources'!$D$6:$D$66,MATCH("C2",'Sources'!$A$6:$A$66,0))</x:f>
        <x:v>https://www.codebuddy.cn/docs/cli/best-practices</x:v>
      </x:c>
    </x:row>
    <x:row r="294" ht="46.5" customHeight="1">
      <x:c r="A294" s="22" t="str">
        <x:v>F19</x:v>
      </x:c>
      <x:c r="B294" s="22" t="str">
        <x:v>BUDDY</x:v>
      </x:c>
      <x:c r="C294" s="30" t="n">
        <x:f>INDEX('Matrix'!$C$6:$P$35,MATCH(A294,'Matrix'!$A$6:$A$35,0),MATCH(B294,'Matrix'!$C$4:$P$4,0))</x:f>
        <x:v>3</x:v>
      </x:c>
      <x:c r="D294" s="22" t="str">
        <x:v>Operational and negative tests</x:v>
      </x:c>
      <x:c r="E294" s="22" t="str">
        <x:v>CodeBuddy workflows</x:v>
      </x:c>
      <x:c r="F294" s="22" t="str">
        <x:v>Fresh writer/reviewer contexts, executable verification, permissions and sandbox.</x:v>
      </x:c>
      <x:c r="G294" s="22" t="str">
        <x:v>Published coverage; analyst judgment</x:v>
      </x:c>
      <x:c r="H294" s="22" t="str">
        <x:v>C2</x:v>
      </x:c>
      <x:c r="I294" s="50" t="str">
        <x:f>INDEX('Sources'!$D$6:$D$66,MATCH("C2",'Sources'!$A$6:$A$66,0))</x:f>
        <x:v>https://www.codebuddy.cn/docs/cli/best-practices</x:v>
      </x:c>
    </x:row>
    <x:row r="295" ht="46.5" customHeight="1">
      <x:c r="A295" s="22" t="str">
        <x:v>F20</x:v>
      </x:c>
      <x:c r="B295" s="22" t="str">
        <x:v>BUDDY</x:v>
      </x:c>
      <x:c r="C295" s="30" t="n">
        <x:f>INDEX('Matrix'!$C$6:$P$35,MATCH(A295,'Matrix'!$A$6:$A$35,0),MATCH(B295,'Matrix'!$C$4:$P$4,0))</x:f>
        <x:v>2</x:v>
      </x:c>
      <x:c r="D295" s="22" t="str">
        <x:v>Claim and evidence separation</x:v>
      </x:c>
      <x:c r="E295" s="22" t="str">
        <x:v>CodeBuddy workflows</x:v>
      </x:c>
      <x:c r="F295" s="22" t="str">
        <x:v>Fresh writer/reviewer contexts, executable verification, permissions and sandbox.</x:v>
      </x:c>
      <x:c r="G295" s="22" t="str">
        <x:v>Published coverage; analyst judgment</x:v>
      </x:c>
      <x:c r="H295" s="22" t="str">
        <x:v>C2</x:v>
      </x:c>
      <x:c r="I295" s="50" t="str">
        <x:f>INDEX('Sources'!$D$6:$D$66,MATCH("C2",'Sources'!$A$6:$A$66,0))</x:f>
        <x:v>https://www.codebuddy.cn/docs/cli/best-practices</x:v>
      </x:c>
    </x:row>
    <x:row r="296" ht="46.5" customHeight="1">
      <x:c r="A296" s="22" t="str">
        <x:v>F21</x:v>
      </x:c>
      <x:c r="B296" s="22" t="str">
        <x:v>BUDDY</x:v>
      </x:c>
      <x:c r="C296" s="30" t="n">
        <x:f>INDEX('Matrix'!$C$6:$P$35,MATCH(A296,'Matrix'!$A$6:$A$35,0),MATCH(B296,'Matrix'!$C$4:$P$4,0))</x:f>
        <x:v>2</x:v>
      </x:c>
      <x:c r="D296" s="22" t="str">
        <x:v>Provenance and auditability</x:v>
      </x:c>
      <x:c r="E296" s="22" t="str">
        <x:v>CodeBuddy workflows</x:v>
      </x:c>
      <x:c r="F296" s="22" t="str">
        <x:v>Fresh writer/reviewer contexts, executable verification, permissions and sandbox.</x:v>
      </x:c>
      <x:c r="G296" s="22" t="str">
        <x:v>Published coverage; analyst judgment</x:v>
      </x:c>
      <x:c r="H296" s="22" t="str">
        <x:v>C2</x:v>
      </x:c>
      <x:c r="I296" s="50" t="str">
        <x:f>INDEX('Sources'!$D$6:$D$66,MATCH("C2",'Sources'!$A$6:$A$66,0))</x:f>
        <x:v>https://www.codebuddy.cn/docs/cli/best-practices</x:v>
      </x:c>
    </x:row>
    <x:row r="297" ht="46.5" customHeight="1">
      <x:c r="A297" s="22" t="str">
        <x:v>F22</x:v>
      </x:c>
      <x:c r="B297" s="22" t="str">
        <x:v>BUDDY</x:v>
      </x:c>
      <x:c r="C297" s="30" t="n">
        <x:f>INDEX('Matrix'!$C$6:$P$35,MATCH(A297,'Matrix'!$A$6:$A$35,0),MATCH(B297,'Matrix'!$C$4:$P$4,0))</x:f>
        <x:v>1</x:v>
      </x:c>
      <x:c r="D297" s="22" t="str">
        <x:v>Change impact and specification revision</x:v>
      </x:c>
      <x:c r="E297" s="22" t="str">
        <x:v>CodeBuddy workflows</x:v>
      </x:c>
      <x:c r="F297" s="22" t="str">
        <x:v>Plans can be edited or archived; valid unaffected result retention under changed requirements is not established.</x:v>
      </x:c>
      <x:c r="G297" s="22" t="str">
        <x:v>Published coverage; analyst judgment</x:v>
      </x:c>
      <x:c r="H297" s="22" t="str">
        <x:v>C1</x:v>
      </x:c>
      <x:c r="I297" s="50" t="str">
        <x:f>INDEX('Sources'!$D$6:$D$66,MATCH("C1",'Sources'!$A$6:$A$66,0))</x:f>
        <x:v>https://www.codebuddy.cn/docs/ide/Features/Plan-Mode</x:v>
      </x:c>
    </x:row>
    <x:row r="298" ht="46.5" customHeight="1">
      <x:c r="A298" s="22" t="str">
        <x:v>F23</x:v>
      </x:c>
      <x:c r="B298" s="22" t="str">
        <x:v>BUDDY</x:v>
      </x:c>
      <x:c r="C298" s="30" t="str">
        <x:f>INDEX('Matrix'!$C$6:$P$35,MATCH(A298,'Matrix'!$A$6:$A$35,0),MATCH(B298,'Matrix'!$C$4:$P$4,0))</x:f>
        <x:v>U</x:v>
      </x:c>
      <x:c r="D298" s="22" t="str">
        <x:v>Versioned release and adoption</x:v>
      </x:c>
      <x:c r="E298" s="22" t="str">
        <x:v>CodeBuddy workflows</x:v>
      </x:c>
      <x:c r="F298" s="22" t="str">
        <x:v>Commit/MR/CI workflows do not establish product release identity, qualification and changed-basis adoption.</x:v>
      </x:c>
      <x:c r="G298" s="22" t="str">
        <x:v>Published coverage; analyst judgment</x:v>
      </x:c>
      <x:c r="H298" s="22" t="str">
        <x:v>C2</x:v>
      </x:c>
      <x:c r="I298" s="50" t="str">
        <x:f>INDEX('Sources'!$D$6:$D$66,MATCH("C2",'Sources'!$A$6:$A$66,0))</x:f>
        <x:v>https://www.codebuddy.cn/docs/cli/best-practices</x:v>
      </x:c>
    </x:row>
    <x:row r="299" ht="46.5" customHeight="1">
      <x:c r="A299" s="22" t="str">
        <x:v>F24</x:v>
      </x:c>
      <x:c r="B299" s="22" t="str">
        <x:v>BUDDY</x:v>
      </x:c>
      <x:c r="C299" s="30" t="n">
        <x:f>INDEX('Matrix'!$C$6:$P$35,MATCH(A299,'Matrix'!$A$6:$A$35,0),MATCH(B299,'Matrix'!$C$4:$P$4,0))</x:f>
        <x:v>3</x:v>
      </x:c>
      <x:c r="D299" s="22" t="str">
        <x:v>Reuse and extensibility</x:v>
      </x:c>
      <x:c r="E299" s="22" t="str">
        <x:v>CodeBuddy workflows</x:v>
      </x:c>
      <x:c r="F299" s="22" t="str">
        <x:v>Skills, hooks, plugins and task examples extend the workflow.</x:v>
      </x:c>
      <x:c r="G299" s="22" t="str">
        <x:v>Published coverage; analyst judgment</x:v>
      </x:c>
      <x:c r="H299" s="22" t="str">
        <x:v>C1, C2</x:v>
      </x:c>
      <x:c r="I299" s="50" t="str">
        <x:f>INDEX('Sources'!$D$6:$D$66,MATCH("C1",'Sources'!$A$6:$A$66,0))&amp;CHAR(10)&amp;INDEX('Sources'!$D$6:$D$66,MATCH("C2",'Sources'!$A$6:$A$66,0))</x:f>
        <x:v>https://www.codebuddy.cn/docs/ide/Features/Plan-Mode
https://www.codebuddy.cn/docs/cli/best-practices</x:v>
      </x:c>
    </x:row>
    <x:row r="300" ht="46.5" customHeight="1">
      <x:c r="A300" s="22" t="str">
        <x:v>F25</x:v>
      </x:c>
      <x:c r="B300" s="22" t="str">
        <x:v>BUDDY</x:v>
      </x:c>
      <x:c r="C300" s="30" t="n">
        <x:f>INDEX('Matrix'!$C$6:$P$35,MATCH(A300,'Matrix'!$A$6:$A$35,0),MATCH(B300,'Matrix'!$C$4:$P$4,0))</x:f>
        <x:v>2</x:v>
      </x:c>
      <x:c r="D300" s="22" t="str">
        <x:v>Process use beyond software</x:v>
      </x:c>
      <x:c r="E300" s="22" t="str">
        <x:v>CodeBuddy workflows</x:v>
      </x:c>
      <x:c r="F300" s="22" t="str">
        <x:v>Skills, hooks, plugins and task examples extend the workflow.</x:v>
      </x:c>
      <x:c r="G300" s="22" t="str">
        <x:v>Published coverage; analyst judgment</x:v>
      </x:c>
      <x:c r="H300" s="22" t="str">
        <x:v>C1, C2</x:v>
      </x:c>
      <x:c r="I300" s="50" t="str">
        <x:f>INDEX('Sources'!$D$6:$D$66,MATCH("C1",'Sources'!$A$6:$A$66,0))&amp;CHAR(10)&amp;INDEX('Sources'!$D$6:$D$66,MATCH("C2",'Sources'!$A$6:$A$66,0))</x:f>
        <x:v>https://www.codebuddy.cn/docs/ide/Features/Plan-Mode
https://www.codebuddy.cn/docs/cli/best-practices</x:v>
      </x:c>
    </x:row>
    <x:row r="301" ht="46.5" customHeight="1">
      <x:c r="A301" s="22" t="str">
        <x:v>F26</x:v>
      </x:c>
      <x:c r="B301" s="22" t="str">
        <x:v>BUDDY</x:v>
      </x:c>
      <x:c r="C301" s="30" t="str">
        <x:f>INDEX('Matrix'!$C$6:$P$35,MATCH(A301,'Matrix'!$A$6:$A$35,0),MATCH(B301,'Matrix'!$C$4:$P$4,0))</x:f>
        <x:v>U</x:v>
      </x:c>
      <x:c r="D301" s="22" t="str">
        <x:v>Self-application</x:v>
      </x:c>
      <x:c r="E301" s="22" t="str">
        <x:v>CodeBuddy workflows</x:v>
      </x:c>
      <x:c r="F301" s="22" t="str">
        <x:v>Inspected sources do not establish methodological self-application.</x:v>
      </x:c>
      <x:c r="G301" s="22" t="str">
        <x:v>Published coverage; analyst judgment</x:v>
      </x:c>
      <x:c r="H301" s="22" t="str">
        <x:v>C1, C2</x:v>
      </x:c>
      <x:c r="I301" s="50" t="str">
        <x:f>INDEX('Sources'!$D$6:$D$66,MATCH("C1",'Sources'!$A$6:$A$66,0))&amp;CHAR(10)&amp;INDEX('Sources'!$D$6:$D$66,MATCH("C2",'Sources'!$A$6:$A$66,0))</x:f>
        <x:v>https://www.codebuddy.cn/docs/ide/Features/Plan-Mode
https://www.codebuddy.cn/docs/cli/best-practices</x:v>
      </x:c>
    </x:row>
    <x:row r="302" ht="46.5" customHeight="1">
      <x:c r="A302" s="22" t="str">
        <x:v>F27</x:v>
      </x:c>
      <x:c r="B302" s="22" t="str">
        <x:v>BUDDY</x:v>
      </x:c>
      <x:c r="C302" s="30" t="n">
        <x:f>INDEX('Matrix'!$C$6:$P$35,MATCH(A302,'Matrix'!$A$6:$A$35,0),MATCH(B302,'Matrix'!$C$4:$P$4,0))</x:f>
        <x:v>2</x:v>
      </x:c>
      <x:c r="D302" s="22" t="str">
        <x:v>AI-native method representation</x:v>
      </x:c>
      <x:c r="E302" s="22" t="str">
        <x:v>CodeBuddy workflows</x:v>
      </x:c>
      <x:c r="F302" s="22" t="str">
        <x:v>Skills, hooks, plugins and task examples extend the workflow.</x:v>
      </x:c>
      <x:c r="G302" s="22" t="str">
        <x:v>Published coverage; analyst judgment</x:v>
      </x:c>
      <x:c r="H302" s="22" t="str">
        <x:v>C1, C2</x:v>
      </x:c>
      <x:c r="I302" s="50" t="str">
        <x:f>INDEX('Sources'!$D$6:$D$66,MATCH("C1",'Sources'!$A$6:$A$66,0))&amp;CHAR(10)&amp;INDEX('Sources'!$D$6:$D$66,MATCH("C2",'Sources'!$A$6:$A$66,0))</x:f>
        <x:v>https://www.codebuddy.cn/docs/ide/Features/Plan-Mode
https://www.codebuddy.cn/docs/cli/best-practices</x:v>
      </x:c>
    </x:row>
    <x:row r="303" ht="46.5" customHeight="1">
      <x:c r="A303" s="22" t="str">
        <x:v>F28</x:v>
      </x:c>
      <x:c r="B303" s="22" t="str">
        <x:v>BUDDY</x:v>
      </x:c>
      <x:c r="C303" s="30" t="n">
        <x:f>INDEX('Matrix'!$C$6:$P$35,MATCH(A303,'Matrix'!$A$6:$A$35,0),MATCH(B303,'Matrix'!$C$4:$P$4,0))</x:f>
        <x:v>3</x:v>
      </x:c>
      <x:c r="D303" s="22" t="str">
        <x:v>Onboarding and reader guidance</x:v>
      </x:c>
      <x:c r="E303" s="22" t="str">
        <x:v>CodeBuddy workflows</x:v>
      </x:c>
      <x:c r="F303" s="22" t="str">
        <x:v>Skills, hooks, plugins and task examples extend the workflow.</x:v>
      </x:c>
      <x:c r="G303" s="22" t="str">
        <x:v>Published coverage; analyst judgment</x:v>
      </x:c>
      <x:c r="H303" s="22" t="str">
        <x:v>C1, C2</x:v>
      </x:c>
      <x:c r="I303" s="50" t="str">
        <x:f>INDEX('Sources'!$D$6:$D$66,MATCH("C1",'Sources'!$A$6:$A$66,0))&amp;CHAR(10)&amp;INDEX('Sources'!$D$6:$D$66,MATCH("C2",'Sources'!$A$6:$A$66,0))</x:f>
        <x:v>https://www.codebuddy.cn/docs/ide/Features/Plan-Mode
https://www.codebuddy.cn/docs/cli/best-practices</x:v>
      </x:c>
    </x:row>
    <x:row r="304" ht="46.5" customHeight="1">
      <x:c r="A304" s="22" t="str">
        <x:v>F29</x:v>
      </x:c>
      <x:c r="B304" s="22" t="str">
        <x:v>BUDDY</x:v>
      </x:c>
      <x:c r="C304" s="30" t="str">
        <x:f>INDEX('Matrix'!$C$6:$P$35,MATCH(A304,'Matrix'!$A$6:$A$35,0),MATCH(B304,'Matrix'!$C$4:$P$4,0))</x:f>
        <x:v>U</x:v>
      </x:c>
      <x:c r="D304" s="22" t="str">
        <x:v>Evidence of effectiveness</x:v>
      </x:c>
      <x:c r="E304" s="22" t="str">
        <x:v>CodeBuddy workflows</x:v>
      </x:c>
      <x:c r="F304" s="22" t="str">
        <x:v>Vendor efficiency statements are not whole-method effectiveness evidence.</x:v>
      </x:c>
      <x:c r="G304" s="22" t="str">
        <x:v>Published coverage; analyst judgment</x:v>
      </x:c>
      <x:c r="H304" s="22" t="str">
        <x:v>C1, C2</x:v>
      </x:c>
      <x:c r="I304" s="50" t="str">
        <x:f>INDEX('Sources'!$D$6:$D$66,MATCH("C1",'Sources'!$A$6:$A$66,0))&amp;CHAR(10)&amp;INDEX('Sources'!$D$6:$D$66,MATCH("C2",'Sources'!$A$6:$A$66,0))</x:f>
        <x:v>https://www.codebuddy.cn/docs/ide/Features/Plan-Mode
https://www.codebuddy.cn/docs/cli/best-practices</x:v>
      </x:c>
    </x:row>
    <x:row r="305" ht="46.5" customHeight="1">
      <x:c r="A305" s="22" t="str">
        <x:v>F30</x:v>
      </x:c>
      <x:c r="B305" s="22" t="str">
        <x:v>BUDDY</x:v>
      </x:c>
      <x:c r="C305" s="30" t="n">
        <x:f>INDEX('Matrix'!$C$6:$P$35,MATCH(A305,'Matrix'!$A$6:$A$35,0),MATCH(B305,'Matrix'!$C$4:$P$4,0))</x:f>
        <x:v>1</x:v>
      </x:c>
      <x:c r="D305" s="22" t="str">
        <x:v>Work and resource measurement</x:v>
      </x:c>
      <x:c r="E305" s="22" t="str">
        <x:v>CodeBuddy workflows</x:v>
      </x:c>
      <x:c r="F305" s="22" t="str">
        <x:v>Task progress and context controls are documented; quantitative method resource measurement is not established.</x:v>
      </x:c>
      <x:c r="G305" s="22" t="str">
        <x:v>Published coverage; analyst judgment</x:v>
      </x:c>
      <x:c r="H305" s="22" t="str">
        <x:v>C1, C2</x:v>
      </x:c>
      <x:c r="I305" s="50" t="str">
        <x:f>INDEX('Sources'!$D$6:$D$66,MATCH("C1",'Sources'!$A$6:$A$66,0))&amp;CHAR(10)&amp;INDEX('Sources'!$D$6:$D$66,MATCH("C2",'Sources'!$A$6:$A$66,0))</x:f>
        <x:v>https://www.codebuddy.cn/docs/ide/Features/Plan-Mode
https://www.codebuddy.cn/docs/cli/best-practices</x:v>
      </x:c>
    </x:row>
    <x:row r="306" ht="46.5" customHeight="1">
      <x:c r="A306" s="22" t="str">
        <x:v>F01</x:v>
      </x:c>
      <x:c r="B306" s="22" t="str">
        <x:v>TRAE</x:v>
      </x:c>
      <x:c r="C306" s="30" t="n">
        <x:f>INDEX('Matrix'!$C$6:$P$35,MATCH(A306,'Matrix'!$A$6:$A$35,0),MATCH(B306,'Matrix'!$C$4:$P$4,0))</x:f>
        <x:v>3</x:v>
      </x:c>
      <x:c r="D306" s="22" t="str">
        <x:v>Intent and success criteria</x:v>
      </x:c>
      <x:c r="E306" s="22" t="str">
        <x:v>TRAE Chinese workflows</x:v>
      </x:c>
      <x:c r="F306" s="22" t="str">
        <x:v>PRD, technical solution and persistent spec/tasks/checklist artifacts.</x:v>
      </x:c>
      <x:c r="G306" s="22" t="str">
        <x:v>Published coverage; analyst judgment</x:v>
      </x:c>
      <x:c r="H306" s="22" t="str">
        <x:v>T1, T2</x:v>
      </x:c>
      <x:c r="I306" s="50" t="str">
        <x:f>INDEX('Sources'!$D$6:$D$66,MATCH("T1",'Sources'!$A$6:$A$66,0))&amp;CHAR(10)&amp;INDEX('Sources'!$D$6:$D$66,MATCH("T2",'Sources'!$A$6:$A$66,0))</x:f>
        <x:v>https://docs.trae.cn/ide_built-in-workflows
https://docs.trae.cn/ide_built-in-agent</x:v>
      </x:c>
    </x:row>
    <x:row r="307" ht="46.5" customHeight="1">
      <x:c r="A307" s="22" t="str">
        <x:v>F02</x:v>
      </x:c>
      <x:c r="B307" s="22" t="str">
        <x:v>TRAE</x:v>
      </x:c>
      <x:c r="C307" s="30" t="n">
        <x:f>INDEX('Matrix'!$C$6:$P$35,MATCH(A307,'Matrix'!$A$6:$A$35,0),MATCH(B307,'Matrix'!$C$4:$P$4,0))</x:f>
        <x:v>2</x:v>
      </x:c>
      <x:c r="D307" s="22" t="str">
        <x:v>Product definition and scope</x:v>
      </x:c>
      <x:c r="E307" s="22" t="str">
        <x:v>TRAE Chinese workflows</x:v>
      </x:c>
      <x:c r="F307" s="22" t="str">
        <x:v>PRD and specifications are explicit; complete treatment of users, boundaries and exclusions is not established.</x:v>
      </x:c>
      <x:c r="G307" s="22" t="str">
        <x:v>Published coverage; analyst judgment</x:v>
      </x:c>
      <x:c r="H307" s="22" t="str">
        <x:v>T1, T2</x:v>
      </x:c>
      <x:c r="I307" s="50" t="str">
        <x:f>INDEX('Sources'!$D$6:$D$66,MATCH("T1",'Sources'!$A$6:$A$66,0))&amp;CHAR(10)&amp;INDEX('Sources'!$D$6:$D$66,MATCH("T2",'Sources'!$A$6:$A$66,0))</x:f>
        <x:v>https://docs.trae.cn/ide_built-in-workflows
https://docs.trae.cn/ide_built-in-agent</x:v>
      </x:c>
    </x:row>
    <x:row r="308" ht="46.5" customHeight="1">
      <x:c r="A308" s="22" t="str">
        <x:v>F03</x:v>
      </x:c>
      <x:c r="B308" s="22" t="str">
        <x:v>TRAE</x:v>
      </x:c>
      <x:c r="C308" s="30" t="n">
        <x:f>INDEX('Matrix'!$C$6:$P$35,MATCH(A308,'Matrix'!$A$6:$A$35,0),MATCH(B308,'Matrix'!$C$4:$P$4,0))</x:f>
        <x:v>3</x:v>
      </x:c>
      <x:c r="D308" s="22" t="str">
        <x:v>Requirements before construction</x:v>
      </x:c>
      <x:c r="E308" s="22" t="str">
        <x:v>TRAE Chinese workflows</x:v>
      </x:c>
      <x:c r="F308" s="22" t="str">
        <x:v>PRD, technical solution and persistent spec/tasks/checklist artifacts.</x:v>
      </x:c>
      <x:c r="G308" s="22" t="str">
        <x:v>Published coverage; analyst judgment</x:v>
      </x:c>
      <x:c r="H308" s="22" t="str">
        <x:v>T1, T2</x:v>
      </x:c>
      <x:c r="I308" s="50" t="str">
        <x:f>INDEX('Sources'!$D$6:$D$66,MATCH("T1",'Sources'!$A$6:$A$66,0))&amp;CHAR(10)&amp;INDEX('Sources'!$D$6:$D$66,MATCH("T2",'Sources'!$A$6:$A$66,0))</x:f>
        <x:v>https://docs.trae.cn/ide_built-in-workflows
https://docs.trae.cn/ide_built-in-agent</x:v>
      </x:c>
    </x:row>
    <x:row r="309" ht="46.5" customHeight="1">
      <x:c r="A309" s="22" t="str">
        <x:v>F04</x:v>
      </x:c>
      <x:c r="B309" s="22" t="str">
        <x:v>TRAE</x:v>
      </x:c>
      <x:c r="C309" s="30" t="n">
        <x:f>INDEX('Matrix'!$C$6:$P$35,MATCH(A309,'Matrix'!$A$6:$A$35,0),MATCH(B309,'Matrix'!$C$4:$P$4,0))</x:f>
        <x:v>3</x:v>
      </x:c>
      <x:c r="D309" s="22" t="str">
        <x:v>Design separated from requirements</x:v>
      </x:c>
      <x:c r="E309" s="22" t="str">
        <x:v>TRAE Chinese workflows</x:v>
      </x:c>
      <x:c r="F309" s="22" t="str">
        <x:v>PRD, technical solution and persistent spec/tasks/checklist artifacts.</x:v>
      </x:c>
      <x:c r="G309" s="22" t="str">
        <x:v>Published coverage; analyst judgment</x:v>
      </x:c>
      <x:c r="H309" s="22" t="str">
        <x:v>T1, T2</x:v>
      </x:c>
      <x:c r="I309" s="50" t="str">
        <x:f>INDEX('Sources'!$D$6:$D$66,MATCH("T1",'Sources'!$A$6:$A$66,0))&amp;CHAR(10)&amp;INDEX('Sources'!$D$6:$D$66,MATCH("T2",'Sources'!$A$6:$A$66,0))</x:f>
        <x:v>https://docs.trae.cn/ide_built-in-workflows
https://docs.trae.cn/ide_built-in-agent</x:v>
      </x:c>
    </x:row>
    <x:row r="310" ht="46.5" customHeight="1">
      <x:c r="A310" s="22" t="str">
        <x:v>F05</x:v>
      </x:c>
      <x:c r="B310" s="22" t="str">
        <x:v>TRAE</x:v>
      </x:c>
      <x:c r="C310" s="30" t="n">
        <x:f>INDEX('Matrix'!$C$6:$P$35,MATCH(A310,'Matrix'!$A$6:$A$35,0),MATCH(B310,'Matrix'!$C$4:$P$4,0))</x:f>
        <x:v>2</x:v>
      </x:c>
      <x:c r="D310" s="22" t="str">
        <x:v>Traceability across stages</x:v>
      </x:c>
      <x:c r="E310" s="22" t="str">
        <x:v>TRAE Chinese workflows</x:v>
      </x:c>
      <x:c r="F310" s="22" t="str">
        <x:v>PRD, technical solution and persistent spec/tasks/checklist artifacts.</x:v>
      </x:c>
      <x:c r="G310" s="22" t="str">
        <x:v>Published coverage; analyst judgment</x:v>
      </x:c>
      <x:c r="H310" s="22" t="str">
        <x:v>T1, T2</x:v>
      </x:c>
      <x:c r="I310" s="50" t="str">
        <x:f>INDEX('Sources'!$D$6:$D$66,MATCH("T1",'Sources'!$A$6:$A$66,0))&amp;CHAR(10)&amp;INDEX('Sources'!$D$6:$D$66,MATCH("T2",'Sources'!$A$6:$A$66,0))</x:f>
        <x:v>https://docs.trae.cn/ide_built-in-workflows
https://docs.trae.cn/ide_built-in-agent</x:v>
      </x:c>
    </x:row>
    <x:row r="311" ht="46.5" customHeight="1">
      <x:c r="A311" s="22" t="str">
        <x:v>F06</x:v>
      </x:c>
      <x:c r="B311" s="22" t="str">
        <x:v>TRAE</x:v>
      </x:c>
      <x:c r="C311" s="30" t="n">
        <x:f>INDEX('Matrix'!$C$6:$P$35,MATCH(A311,'Matrix'!$A$6:$A$35,0),MATCH(B311,'Matrix'!$C$4:$P$4,0))</x:f>
        <x:v>1</x:v>
      </x:c>
      <x:c r="D311" s="22" t="str">
        <x:v>Domain concepts and identity</x:v>
      </x:c>
      <x:c r="E311" s="22" t="str">
        <x:v>TRAE Chinese workflows</x:v>
      </x:c>
      <x:c r="F311" s="22" t="str">
        <x:v>Structured skills and project constraints; semantic algebra not established.</x:v>
      </x:c>
      <x:c r="G311" s="22" t="str">
        <x:v>Published coverage; analyst judgment</x:v>
      </x:c>
      <x:c r="H311" s="22" t="str">
        <x:v>T1, T3</x:v>
      </x:c>
      <x:c r="I311" s="50" t="str">
        <x:f>INDEX('Sources'!$D$6:$D$66,MATCH("T1",'Sources'!$A$6:$A$66,0))&amp;CHAR(10)&amp;INDEX('Sources'!$D$6:$D$66,MATCH("T3",'Sources'!$A$6:$A$66,0))</x:f>
        <x:v>https://docs.trae.cn/ide_built-in-workflows
https://docs.trae.cn/ide_skills</x:v>
      </x:c>
    </x:row>
    <x:row r="312" ht="46.5" customHeight="1">
      <x:c r="A312" s="22" t="str">
        <x:v>F07</x:v>
      </x:c>
      <x:c r="B312" s="22" t="str">
        <x:v>TRAE</x:v>
      </x:c>
      <x:c r="C312" s="30" t="n">
        <x:f>INDEX('Matrix'!$C$6:$P$35,MATCH(A312,'Matrix'!$A$6:$A$35,0),MATCH(B312,'Matrix'!$C$4:$P$4,0))</x:f>
        <x:v>2</x:v>
      </x:c>
      <x:c r="D312" s="22" t="str">
        <x:v>Explicit inputs, outputs and contracts</x:v>
      </x:c>
      <x:c r="E312" s="22" t="str">
        <x:v>TRAE Chinese workflows</x:v>
      </x:c>
      <x:c r="F312" s="22" t="str">
        <x:v>Structured skills and project constraints; semantic algebra not established.</x:v>
      </x:c>
      <x:c r="G312" s="22" t="str">
        <x:v>Published coverage; analyst judgment</x:v>
      </x:c>
      <x:c r="H312" s="22" t="str">
        <x:v>T1, T3</x:v>
      </x:c>
      <x:c r="I312" s="50" t="str">
        <x:f>INDEX('Sources'!$D$6:$D$66,MATCH("T1",'Sources'!$A$6:$A$66,0))&amp;CHAR(10)&amp;INDEX('Sources'!$D$6:$D$66,MATCH("T3",'Sources'!$A$6:$A$66,0))</x:f>
        <x:v>https://docs.trae.cn/ide_built-in-workflows
https://docs.trae.cn/ide_skills</x:v>
      </x:c>
    </x:row>
    <x:row r="313" ht="46.5" customHeight="1">
      <x:c r="A313" s="22" t="str">
        <x:v>F08</x:v>
      </x:c>
      <x:c r="B313" s="22" t="str">
        <x:v>TRAE</x:v>
      </x:c>
      <x:c r="C313" s="30" t="n">
        <x:f>INDEX('Matrix'!$C$6:$P$35,MATCH(A313,'Matrix'!$A$6:$A$35,0),MATCH(B313,'Matrix'!$C$4:$P$4,0))</x:f>
        <x:v>2</x:v>
      </x:c>
      <x:c r="D313" s="22" t="str">
        <x:v>Invariants and semantic constraints</x:v>
      </x:c>
      <x:c r="E313" s="22" t="str">
        <x:v>TRAE Chinese workflows</x:v>
      </x:c>
      <x:c r="F313" s="22" t="str">
        <x:v>Structured skills and project constraints; semantic algebra not established.</x:v>
      </x:c>
      <x:c r="G313" s="22" t="str">
        <x:v>Published coverage; analyst judgment</x:v>
      </x:c>
      <x:c r="H313" s="22" t="str">
        <x:v>T1, T3</x:v>
      </x:c>
      <x:c r="I313" s="50" t="str">
        <x:f>INDEX('Sources'!$D$6:$D$66,MATCH("T1",'Sources'!$A$6:$A$66,0))&amp;CHAR(10)&amp;INDEX('Sources'!$D$6:$D$66,MATCH("T3",'Sources'!$A$6:$A$66,0))</x:f>
        <x:v>https://docs.trae.cn/ide_built-in-workflows
https://docs.trae.cn/ide_skills</x:v>
      </x:c>
    </x:row>
    <x:row r="314" ht="46.5" customHeight="1">
      <x:c r="A314" s="22" t="str">
        <x:v>F09</x:v>
      </x:c>
      <x:c r="B314" s="22" t="str">
        <x:v>TRAE</x:v>
      </x:c>
      <x:c r="C314" s="30" t="n">
        <x:f>INDEX('Matrix'!$C$6:$P$35,MATCH(A314,'Matrix'!$A$6:$A$35,0),MATCH(B314,'Matrix'!$C$4:$P$4,0))</x:f>
        <x:v>1</x:v>
      </x:c>
      <x:c r="D314" s="22" t="str">
        <x:v>Composition and formal reasoning</x:v>
      </x:c>
      <x:c r="E314" s="22" t="str">
        <x:v>TRAE Chinese workflows</x:v>
      </x:c>
      <x:c r="F314" s="22" t="str">
        <x:v>Skill-directory precedence supplies a limited operational resolution rule; semantic algebra is not established.</x:v>
      </x:c>
      <x:c r="G314" s="22" t="str">
        <x:v>Published coverage; analyst judgment</x:v>
      </x:c>
      <x:c r="H314" s="22" t="str">
        <x:v>T3</x:v>
      </x:c>
      <x:c r="I314" s="50" t="str">
        <x:f>INDEX('Sources'!$D$6:$D$66,MATCH("T3",'Sources'!$A$6:$A$66,0))</x:f>
        <x:v>https://docs.trae.cn/ide_skills</x:v>
      </x:c>
    </x:row>
    <x:row r="315" ht="54" customHeight="1">
      <x:c r="A315" s="22" t="str">
        <x:v>F10</x:v>
      </x:c>
      <x:c r="B315" s="22" t="str">
        <x:v>TRAE</x:v>
      </x:c>
      <x:c r="C315" s="30" t="n">
        <x:f>INDEX('Matrix'!$C$6:$P$35,MATCH(A315,'Matrix'!$A$6:$A$35,0),MATCH(B315,'Matrix'!$C$4:$P$4,0))</x:f>
        <x:v>3</x:v>
      </x:c>
      <x:c r="D315" s="22" t="str">
        <x:v>Relevant context selection</x:v>
      </x:c>
      <x:c r="E315" s="22" t="str">
        <x:v>TRAE Chinese workflows</x:v>
      </x:c>
      <x:c r="F315" s="22" t="str">
        <x:v>On-demand skills, focused workers, independent contexts and persistent Spec progress.</x:v>
      </x:c>
      <x:c r="G315" s="22" t="str">
        <x:v>Published coverage; analyst judgment</x:v>
      </x:c>
      <x:c r="H315" s="22" t="str">
        <x:v>T1, T2, T3</x:v>
      </x:c>
      <x:c r="I315" s="50" t="str">
        <x:f>INDEX('Sources'!$D$6:$D$66,MATCH("T1",'Sources'!$A$6:$A$66,0))&amp;CHAR(10)&amp;INDEX('Sources'!$D$6:$D$66,MATCH("T2",'Sources'!$A$6:$A$66,0))&amp;CHAR(10)&amp;INDEX('Sources'!$D$6:$D$66,MATCH("T3",'Sources'!$A$6:$A$66,0))</x:f>
        <x:v>https://docs.trae.cn/ide_built-in-workflows
https://docs.trae.cn/ide_built-in-agent
https://docs.trae.cn/ide_skills</x:v>
      </x:c>
    </x:row>
    <x:row r="316" ht="54" customHeight="1">
      <x:c r="A316" s="22" t="str">
        <x:v>F11</x:v>
      </x:c>
      <x:c r="B316" s="22" t="str">
        <x:v>TRAE</x:v>
      </x:c>
      <x:c r="C316" s="30" t="n">
        <x:f>INDEX('Matrix'!$C$6:$P$35,MATCH(A316,'Matrix'!$A$6:$A$35,0),MATCH(B316,'Matrix'!$C$4:$P$4,0))</x:f>
        <x:v>2</x:v>
      </x:c>
      <x:c r="D316" s="22" t="str">
        <x:v>Attention fit and proportionality</x:v>
      </x:c>
      <x:c r="E316" s="22" t="str">
        <x:v>TRAE Chinese workflows</x:v>
      </x:c>
      <x:c r="F316" s="22" t="str">
        <x:v>On-demand skills, focused workers, independent contexts and persistent Spec progress.</x:v>
      </x:c>
      <x:c r="G316" s="22" t="str">
        <x:v>Published coverage; analyst judgment</x:v>
      </x:c>
      <x:c r="H316" s="22" t="str">
        <x:v>T1, T2, T3</x:v>
      </x:c>
      <x:c r="I316" s="50" t="str">
        <x:f>INDEX('Sources'!$D$6:$D$66,MATCH("T1",'Sources'!$A$6:$A$66,0))&amp;CHAR(10)&amp;INDEX('Sources'!$D$6:$D$66,MATCH("T2",'Sources'!$A$6:$A$66,0))&amp;CHAR(10)&amp;INDEX('Sources'!$D$6:$D$66,MATCH("T3",'Sources'!$A$6:$A$66,0))</x:f>
        <x:v>https://docs.trae.cn/ide_built-in-workflows
https://docs.trae.cn/ide_built-in-agent
https://docs.trae.cn/ide_skills</x:v>
      </x:c>
    </x:row>
    <x:row r="317" ht="54" customHeight="1">
      <x:c r="A317" s="22" t="str">
        <x:v>F12</x:v>
      </x:c>
      <x:c r="B317" s="22" t="str">
        <x:v>TRAE</x:v>
      </x:c>
      <x:c r="C317" s="30" t="n">
        <x:f>INDEX('Matrix'!$C$6:$P$35,MATCH(A317,'Matrix'!$A$6:$A$35,0),MATCH(B317,'Matrix'!$C$4:$P$4,0))</x:f>
        <x:v>3</x:v>
      </x:c>
      <x:c r="D317" s="22" t="str">
        <x:v>Bounded probabilistic construction</x:v>
      </x:c>
      <x:c r="E317" s="22" t="str">
        <x:v>TRAE Chinese workflows</x:v>
      </x:c>
      <x:c r="F317" s="22" t="str">
        <x:v>On-demand skills, focused workers, independent contexts and persistent Spec progress.</x:v>
      </x:c>
      <x:c r="G317" s="22" t="str">
        <x:v>Published coverage; analyst judgment</x:v>
      </x:c>
      <x:c r="H317" s="22" t="str">
        <x:v>T1, T2, T3</x:v>
      </x:c>
      <x:c r="I317" s="50" t="str">
        <x:f>INDEX('Sources'!$D$6:$D$66,MATCH("T1",'Sources'!$A$6:$A$66,0))&amp;CHAR(10)&amp;INDEX('Sources'!$D$6:$D$66,MATCH("T2",'Sources'!$A$6:$A$66,0))&amp;CHAR(10)&amp;INDEX('Sources'!$D$6:$D$66,MATCH("T3",'Sources'!$A$6:$A$66,0))</x:f>
        <x:v>https://docs.trae.cn/ide_built-in-workflows
https://docs.trae.cn/ide_built-in-agent
https://docs.trae.cn/ide_skills</x:v>
      </x:c>
    </x:row>
    <x:row r="318" ht="54" customHeight="1">
      <x:c r="A318" s="22" t="str">
        <x:v>F13</x:v>
      </x:c>
      <x:c r="B318" s="22" t="str">
        <x:v>TRAE</x:v>
      </x:c>
      <x:c r="C318" s="30" t="n">
        <x:f>INDEX('Matrix'!$C$6:$P$35,MATCH(A318,'Matrix'!$A$6:$A$35,0),MATCH(B318,'Matrix'!$C$4:$P$4,0))</x:f>
        <x:v>3</x:v>
      </x:c>
      <x:c r="D318" s="22" t="str">
        <x:v>Decomposition and recursive workflows</x:v>
      </x:c>
      <x:c r="E318" s="22" t="str">
        <x:v>TRAE Chinese workflows</x:v>
      </x:c>
      <x:c r="F318" s="22" t="str">
        <x:v>On-demand skills, focused workers, independent contexts and persistent Spec progress.</x:v>
      </x:c>
      <x:c r="G318" s="22" t="str">
        <x:v>Published coverage; analyst judgment</x:v>
      </x:c>
      <x:c r="H318" s="22" t="str">
        <x:v>T1, T2, T3</x:v>
      </x:c>
      <x:c r="I318" s="50" t="str">
        <x:f>INDEX('Sources'!$D$6:$D$66,MATCH("T1",'Sources'!$A$6:$A$66,0))&amp;CHAR(10)&amp;INDEX('Sources'!$D$6:$D$66,MATCH("T2",'Sources'!$A$6:$A$66,0))&amp;CHAR(10)&amp;INDEX('Sources'!$D$6:$D$66,MATCH("T3",'Sources'!$A$6:$A$66,0))</x:f>
        <x:v>https://docs.trae.cn/ide_built-in-workflows
https://docs.trae.cn/ide_built-in-agent
https://docs.trae.cn/ide_skills</x:v>
      </x:c>
    </x:row>
    <x:row r="319" ht="54" customHeight="1">
      <x:c r="A319" s="22" t="str">
        <x:v>F14</x:v>
      </x:c>
      <x:c r="B319" s="22" t="str">
        <x:v>TRAE</x:v>
      </x:c>
      <x:c r="C319" s="30" t="n">
        <x:f>INDEX('Matrix'!$C$6:$P$35,MATCH(A319,'Matrix'!$A$6:$A$35,0),MATCH(B319,'Matrix'!$C$4:$P$4,0))</x:f>
        <x:v>2</x:v>
      </x:c>
      <x:c r="D319" s="22" t="str">
        <x:v>Durable state and resumption</x:v>
      </x:c>
      <x:c r="E319" s="22" t="str">
        <x:v>TRAE Chinese workflows</x:v>
      </x:c>
      <x:c r="F319" s="22" t="str">
        <x:v>On-demand skills, focused workers, independent contexts and persistent Spec progress.</x:v>
      </x:c>
      <x:c r="G319" s="22" t="str">
        <x:v>Published coverage; analyst judgment</x:v>
      </x:c>
      <x:c r="H319" s="22" t="str">
        <x:v>T1, T2, T3</x:v>
      </x:c>
      <x:c r="I319" s="50" t="str">
        <x:f>INDEX('Sources'!$D$6:$D$66,MATCH("T1",'Sources'!$A$6:$A$66,0))&amp;CHAR(10)&amp;INDEX('Sources'!$D$6:$D$66,MATCH("T2",'Sources'!$A$6:$A$66,0))&amp;CHAR(10)&amp;INDEX('Sources'!$D$6:$D$66,MATCH("T3",'Sources'!$A$6:$A$66,0))</x:f>
        <x:v>https://docs.trae.cn/ide_built-in-workflows
https://docs.trae.cn/ide_built-in-agent
https://docs.trae.cn/ide_skills</x:v>
      </x:c>
    </x:row>
    <x:row r="320" ht="54" customHeight="1">
      <x:c r="A320" s="22" t="str">
        <x:v>F15</x:v>
      </x:c>
      <x:c r="B320" s="22" t="str">
        <x:v>TRAE</x:v>
      </x:c>
      <x:c r="C320" s="30" t="n">
        <x:f>INDEX('Matrix'!$C$6:$P$35,MATCH(A320,'Matrix'!$A$6:$A$35,0),MATCH(B320,'Matrix'!$C$4:$P$4,0))</x:f>
        <x:v>3</x:v>
      </x:c>
      <x:c r="D320" s="22" t="str">
        <x:v>Observation and next-action feedback</x:v>
      </x:c>
      <x:c r="E320" s="22" t="str">
        <x:v>TRAE Chinese workflows</x:v>
      </x:c>
      <x:c r="F320" s="22" t="str">
        <x:v>On-demand skills, focused workers, independent contexts and persistent Spec progress.</x:v>
      </x:c>
      <x:c r="G320" s="22" t="str">
        <x:v>Published coverage; analyst judgment</x:v>
      </x:c>
      <x:c r="H320" s="22" t="str">
        <x:v>T1, T2, T3</x:v>
      </x:c>
      <x:c r="I320" s="50" t="str">
        <x:f>INDEX('Sources'!$D$6:$D$66,MATCH("T1",'Sources'!$A$6:$A$66,0))&amp;CHAR(10)&amp;INDEX('Sources'!$D$6:$D$66,MATCH("T2",'Sources'!$A$6:$A$66,0))&amp;CHAR(10)&amp;INDEX('Sources'!$D$6:$D$66,MATCH("T3",'Sources'!$A$6:$A$66,0))</x:f>
        <x:v>https://docs.trae.cn/ide_built-in-workflows
https://docs.trae.cn/ide_built-in-agent
https://docs.trae.cn/ide_skills</x:v>
      </x:c>
    </x:row>
    <x:row r="321" ht="54" customHeight="1">
      <x:c r="A321" s="22" t="str">
        <x:v>F16</x:v>
      </x:c>
      <x:c r="B321" s="22" t="str">
        <x:v>TRAE</x:v>
      </x:c>
      <x:c r="C321" s="30" t="n">
        <x:f>INDEX('Matrix'!$C$6:$P$35,MATCH(A321,'Matrix'!$A$6:$A$35,0),MATCH(B321,'Matrix'!$C$4:$P$4,0))</x:f>
        <x:v>2</x:v>
      </x:c>
      <x:c r="D321" s="22" t="str">
        <x:v>Uncertainty, stops and re-entry</x:v>
      </x:c>
      <x:c r="E321" s="22" t="str">
        <x:v>TRAE Chinese workflows</x:v>
      </x:c>
      <x:c r="F321" s="22" t="str">
        <x:v>On-demand skills, focused workers, independent contexts and persistent Spec progress.</x:v>
      </x:c>
      <x:c r="G321" s="22" t="str">
        <x:v>Published coverage; analyst judgment</x:v>
      </x:c>
      <x:c r="H321" s="22" t="str">
        <x:v>T1, T2, T3</x:v>
      </x:c>
      <x:c r="I321" s="50" t="str">
        <x:f>INDEX('Sources'!$D$6:$D$66,MATCH("T1",'Sources'!$A$6:$A$66,0))&amp;CHAR(10)&amp;INDEX('Sources'!$D$6:$D$66,MATCH("T2",'Sources'!$A$6:$A$66,0))&amp;CHAR(10)&amp;INDEX('Sources'!$D$6:$D$66,MATCH("T3",'Sources'!$A$6:$A$66,0))</x:f>
        <x:v>https://docs.trae.cn/ide_built-in-workflows
https://docs.trae.cn/ide_built-in-agent
https://docs.trae.cn/ide_skills</x:v>
      </x:c>
    </x:row>
    <x:row r="322" ht="54" customHeight="1">
      <x:c r="A322" s="22" t="str">
        <x:v>F17</x:v>
      </x:c>
      <x:c r="B322" s="22" t="str">
        <x:v>TRAE</x:v>
      </x:c>
      <x:c r="C322" s="30" t="n">
        <x:f>INDEX('Matrix'!$C$6:$P$35,MATCH(A322,'Matrix'!$A$6:$A$35,0),MATCH(B322,'Matrix'!$C$4:$P$4,0))</x:f>
        <x:v>2</x:v>
      </x:c>
      <x:c r="D322" s="22" t="str">
        <x:v>Permissions and effect boundaries</x:v>
      </x:c>
      <x:c r="E322" s="22" t="str">
        <x:v>TRAE Chinese workflows</x:v>
      </x:c>
      <x:c r="F322" s="22" t="str">
        <x:v>Confirmation and configurable capabilities are documented; complete effect mediation is not established.</x:v>
      </x:c>
      <x:c r="G322" s="22" t="str">
        <x:v>Published coverage; analyst judgment</x:v>
      </x:c>
      <x:c r="H322" s="22" t="str">
        <x:v>T1, T2, T4</x:v>
      </x:c>
      <x:c r="I322" s="50" t="str">
        <x:f>INDEX('Sources'!$D$6:$D$66,MATCH("T1",'Sources'!$A$6:$A$66,0))&amp;CHAR(10)&amp;INDEX('Sources'!$D$6:$D$66,MATCH("T2",'Sources'!$A$6:$A$66,0))&amp;CHAR(10)&amp;INDEX('Sources'!$D$6:$D$66,MATCH("T4",'Sources'!$A$6:$A$66,0))</x:f>
        <x:v>https://docs.trae.cn/ide_built-in-workflows
https://docs.trae.cn/ide_built-in-agent
https://docs.trae.cn/ide_agent-powered-code-review</x:v>
      </x:c>
    </x:row>
    <x:row r="323" ht="54" customHeight="1">
      <x:c r="A323" s="22" t="str">
        <x:v>F18</x:v>
      </x:c>
      <x:c r="B323" s="22" t="str">
        <x:v>TRAE</x:v>
      </x:c>
      <x:c r="C323" s="30" t="n">
        <x:f>INDEX('Matrix'!$C$6:$P$35,MATCH(A323,'Matrix'!$A$6:$A$35,0),MATCH(B323,'Matrix'!$C$4:$P$4,0))</x:f>
        <x:v>2</x:v>
      </x:c>
      <x:c r="D323" s="22" t="str">
        <x:v>Independent assessment</x:v>
      </x:c>
      <x:c r="E323" s="22" t="str">
        <x:v>TRAE Chinese workflows</x:v>
      </x:c>
      <x:c r="F323" s="22" t="str">
        <x:v>Goal evaluation, specialized diff review and user-confirmed plans.</x:v>
      </x:c>
      <x:c r="G323" s="22" t="str">
        <x:v>Published coverage; analyst judgment</x:v>
      </x:c>
      <x:c r="H323" s="22" t="str">
        <x:v>T1, T2, T4</x:v>
      </x:c>
      <x:c r="I323" s="50" t="str">
        <x:f>INDEX('Sources'!$D$6:$D$66,MATCH("T1",'Sources'!$A$6:$A$66,0))&amp;CHAR(10)&amp;INDEX('Sources'!$D$6:$D$66,MATCH("T2",'Sources'!$A$6:$A$66,0))&amp;CHAR(10)&amp;INDEX('Sources'!$D$6:$D$66,MATCH("T4",'Sources'!$A$6:$A$66,0))</x:f>
        <x:v>https://docs.trae.cn/ide_built-in-workflows
https://docs.trae.cn/ide_built-in-agent
https://docs.trae.cn/ide_agent-powered-code-review</x:v>
      </x:c>
    </x:row>
    <x:row r="324" ht="46.5" customHeight="1">
      <x:c r="A324" s="22" t="str">
        <x:v>F19</x:v>
      </x:c>
      <x:c r="B324" s="22" t="str">
        <x:v>TRAE</x:v>
      </x:c>
      <x:c r="C324" s="30" t="n">
        <x:f>INDEX('Matrix'!$C$6:$P$35,MATCH(A324,'Matrix'!$A$6:$A$35,0),MATCH(B324,'Matrix'!$C$4:$P$4,0))</x:f>
        <x:v>2</x:v>
      </x:c>
      <x:c r="D324" s="22" t="str">
        <x:v>Operational and negative tests</x:v>
      </x:c>
      <x:c r="E324" s="22" t="str">
        <x:v>TRAE Chinese workflows</x:v>
      </x:c>
      <x:c r="F324" s="22" t="str">
        <x:v>Hypothesis/instrument/reproduce/verify debugging and scoped review are explicit; systematic negative-case coverage is not established.</x:v>
      </x:c>
      <x:c r="G324" s="22" t="str">
        <x:v>Published coverage; analyst judgment</x:v>
      </x:c>
      <x:c r="H324" s="22" t="str">
        <x:v>T3, T4</x:v>
      </x:c>
      <x:c r="I324" s="50" t="str">
        <x:f>INDEX('Sources'!$D$6:$D$66,MATCH("T3",'Sources'!$A$6:$A$66,0))&amp;CHAR(10)&amp;INDEX('Sources'!$D$6:$D$66,MATCH("T4",'Sources'!$A$6:$A$66,0))</x:f>
        <x:v>https://docs.trae.cn/ide_skills
https://docs.trae.cn/ide_agent-powered-code-review</x:v>
      </x:c>
    </x:row>
    <x:row r="325" ht="54" customHeight="1">
      <x:c r="A325" s="22" t="str">
        <x:v>F20</x:v>
      </x:c>
      <x:c r="B325" s="22" t="str">
        <x:v>TRAE</x:v>
      </x:c>
      <x:c r="C325" s="30" t="n">
        <x:f>INDEX('Matrix'!$C$6:$P$35,MATCH(A325,'Matrix'!$A$6:$A$35,0),MATCH(B325,'Matrix'!$C$4:$P$4,0))</x:f>
        <x:v>1</x:v>
      </x:c>
      <x:c r="D325" s="22" t="str">
        <x:v>Claim and evidence separation</x:v>
      </x:c>
      <x:c r="E325" s="22" t="str">
        <x:v>TRAE Chinese workflows</x:v>
      </x:c>
      <x:c r="F325" s="22" t="str">
        <x:v>Goal evaluation, specialized diff review and user-confirmed plans.</x:v>
      </x:c>
      <x:c r="G325" s="22" t="str">
        <x:v>Published coverage; analyst judgment</x:v>
      </x:c>
      <x:c r="H325" s="22" t="str">
        <x:v>T1, T2, T4</x:v>
      </x:c>
      <x:c r="I325" s="50" t="str">
        <x:f>INDEX('Sources'!$D$6:$D$66,MATCH("T1",'Sources'!$A$6:$A$66,0))&amp;CHAR(10)&amp;INDEX('Sources'!$D$6:$D$66,MATCH("T2",'Sources'!$A$6:$A$66,0))&amp;CHAR(10)&amp;INDEX('Sources'!$D$6:$D$66,MATCH("T4",'Sources'!$A$6:$A$66,0))</x:f>
        <x:v>https://docs.trae.cn/ide_built-in-workflows
https://docs.trae.cn/ide_built-in-agent
https://docs.trae.cn/ide_agent-powered-code-review</x:v>
      </x:c>
    </x:row>
    <x:row r="326" ht="54" customHeight="1">
      <x:c r="A326" s="22" t="str">
        <x:v>F21</x:v>
      </x:c>
      <x:c r="B326" s="22" t="str">
        <x:v>TRAE</x:v>
      </x:c>
      <x:c r="C326" s="30" t="n">
        <x:f>INDEX('Matrix'!$C$6:$P$35,MATCH(A326,'Matrix'!$A$6:$A$35,0),MATCH(B326,'Matrix'!$C$4:$P$4,0))</x:f>
        <x:v>2</x:v>
      </x:c>
      <x:c r="D326" s="22" t="str">
        <x:v>Provenance and auditability</x:v>
      </x:c>
      <x:c r="E326" s="22" t="str">
        <x:v>TRAE Chinese workflows</x:v>
      </x:c>
      <x:c r="F326" s="22" t="str">
        <x:v>Goal evaluation, specialized diff review and user-confirmed plans.</x:v>
      </x:c>
      <x:c r="G326" s="22" t="str">
        <x:v>Published coverage; analyst judgment</x:v>
      </x:c>
      <x:c r="H326" s="22" t="str">
        <x:v>T1, T2, T4</x:v>
      </x:c>
      <x:c r="I326" s="50" t="str">
        <x:f>INDEX('Sources'!$D$6:$D$66,MATCH("T1",'Sources'!$A$6:$A$66,0))&amp;CHAR(10)&amp;INDEX('Sources'!$D$6:$D$66,MATCH("T2",'Sources'!$A$6:$A$66,0))&amp;CHAR(10)&amp;INDEX('Sources'!$D$6:$D$66,MATCH("T4",'Sources'!$A$6:$A$66,0))</x:f>
        <x:v>https://docs.trae.cn/ide_built-in-workflows
https://docs.trae.cn/ide_built-in-agent
https://docs.trae.cn/ide_agent-powered-code-review</x:v>
      </x:c>
    </x:row>
    <x:row r="327" ht="46.5" customHeight="1">
      <x:c r="A327" s="22" t="str">
        <x:v>F22</x:v>
      </x:c>
      <x:c r="B327" s="22" t="str">
        <x:v>TRAE</x:v>
      </x:c>
      <x:c r="C327" s="30" t="n">
        <x:f>INDEX('Matrix'!$C$6:$P$35,MATCH(A327,'Matrix'!$A$6:$A$35,0),MATCH(B327,'Matrix'!$C$4:$P$4,0))</x:f>
        <x:v>1</x:v>
      </x:c>
      <x:c r="D327" s="22" t="str">
        <x:v>Change impact and specification revision</x:v>
      </x:c>
      <x:c r="E327" s="22" t="str">
        <x:v>TRAE Chinese workflows</x:v>
      </x:c>
      <x:c r="F327" s="22" t="str">
        <x:v>Editing and confirmed plans support revision; dependency-aware retention of valid unaffected results is not established.</x:v>
      </x:c>
      <x:c r="G327" s="22" t="str">
        <x:v>Published coverage; analyst judgment</x:v>
      </x:c>
      <x:c r="H327" s="22" t="str">
        <x:v>T1</x:v>
      </x:c>
      <x:c r="I327" s="50" t="str">
        <x:f>INDEX('Sources'!$D$6:$D$66,MATCH("T1",'Sources'!$A$6:$A$66,0))</x:f>
        <x:v>https://docs.trae.cn/ide_built-in-workflows</x:v>
      </x:c>
    </x:row>
    <x:row r="328" ht="46.5" customHeight="1">
      <x:c r="A328" s="22" t="str">
        <x:v>F23</x:v>
      </x:c>
      <x:c r="B328" s="22" t="str">
        <x:v>TRAE</x:v>
      </x:c>
      <x:c r="C328" s="30" t="str">
        <x:f>INDEX('Matrix'!$C$6:$P$35,MATCH(A328,'Matrix'!$A$6:$A$35,0),MATCH(B328,'Matrix'!$C$4:$P$4,0))</x:f>
        <x:v>U</x:v>
      </x:c>
      <x:c r="D328" s="22" t="str">
        <x:v>Versioned release and adoption</x:v>
      </x:c>
      <x:c r="E328" s="22" t="str">
        <x:v>TRAE Chinese workflows</x:v>
      </x:c>
      <x:c r="F328" s="22" t="str">
        <x:v>Version-controlled specifications and reviews do not establish product release qualification or changed-basis adoption.</x:v>
      </x:c>
      <x:c r="G328" s="22" t="str">
        <x:v>Published coverage; analyst judgment</x:v>
      </x:c>
      <x:c r="H328" s="22" t="str">
        <x:v>T1, T4</x:v>
      </x:c>
      <x:c r="I328" s="50" t="str">
        <x:f>INDEX('Sources'!$D$6:$D$66,MATCH("T1",'Sources'!$A$6:$A$66,0))&amp;CHAR(10)&amp;INDEX('Sources'!$D$6:$D$66,MATCH("T4",'Sources'!$A$6:$A$66,0))</x:f>
        <x:v>https://docs.trae.cn/ide_built-in-workflows
https://docs.trae.cn/ide_agent-powered-code-review</x:v>
      </x:c>
    </x:row>
    <x:row r="329" ht="46.5" customHeight="1">
      <x:c r="A329" s="22" t="str">
        <x:v>F24</x:v>
      </x:c>
      <x:c r="B329" s="22" t="str">
        <x:v>TRAE</x:v>
      </x:c>
      <x:c r="C329" s="30" t="n">
        <x:f>INDEX('Matrix'!$C$6:$P$35,MATCH(A329,'Matrix'!$A$6:$A$35,0),MATCH(B329,'Matrix'!$C$4:$P$4,0))</x:f>
        <x:v>3</x:v>
      </x:c>
      <x:c r="D329" s="22" t="str">
        <x:v>Reuse and extensibility</x:v>
      </x:c>
      <x:c r="E329" s="22" t="str">
        <x:v>TRAE Chinese workflows</x:v>
      </x:c>
      <x:c r="F329" s="22" t="str">
        <x:v>Global/project skills, debugging SOPs and routine data-analysis procedures.</x:v>
      </x:c>
      <x:c r="G329" s="22" t="str">
        <x:v>Published coverage; analyst judgment</x:v>
      </x:c>
      <x:c r="H329" s="22" t="str">
        <x:v>T2, T3</x:v>
      </x:c>
      <x:c r="I329" s="50" t="str">
        <x:f>INDEX('Sources'!$D$6:$D$66,MATCH("T2",'Sources'!$A$6:$A$66,0))&amp;CHAR(10)&amp;INDEX('Sources'!$D$6:$D$66,MATCH("T3",'Sources'!$A$6:$A$66,0))</x:f>
        <x:v>https://docs.trae.cn/ide_built-in-agent
https://docs.trae.cn/ide_skills</x:v>
      </x:c>
    </x:row>
    <x:row r="330" ht="46.5" customHeight="1">
      <x:c r="A330" s="22" t="str">
        <x:v>F25</x:v>
      </x:c>
      <x:c r="B330" s="22" t="str">
        <x:v>TRAE</x:v>
      </x:c>
      <x:c r="C330" s="30" t="n">
        <x:f>INDEX('Matrix'!$C$6:$P$35,MATCH(A330,'Matrix'!$A$6:$A$35,0),MATCH(B330,'Matrix'!$C$4:$P$4,0))</x:f>
        <x:v>2</x:v>
      </x:c>
      <x:c r="D330" s="22" t="str">
        <x:v>Process use beyond software</x:v>
      </x:c>
      <x:c r="E330" s="22" t="str">
        <x:v>TRAE Chinese workflows</x:v>
      </x:c>
      <x:c r="F330" s="22" t="str">
        <x:v>Global/project skills, debugging SOPs and routine data-analysis procedures.</x:v>
      </x:c>
      <x:c r="G330" s="22" t="str">
        <x:v>Published coverage; analyst judgment</x:v>
      </x:c>
      <x:c r="H330" s="22" t="str">
        <x:v>T2, T3</x:v>
      </x:c>
      <x:c r="I330" s="50" t="str">
        <x:f>INDEX('Sources'!$D$6:$D$66,MATCH("T2",'Sources'!$A$6:$A$66,0))&amp;CHAR(10)&amp;INDEX('Sources'!$D$6:$D$66,MATCH("T3",'Sources'!$A$6:$A$66,0))</x:f>
        <x:v>https://docs.trae.cn/ide_built-in-agent
https://docs.trae.cn/ide_skills</x:v>
      </x:c>
    </x:row>
    <x:row r="331" ht="46.5" customHeight="1">
      <x:c r="A331" s="22" t="str">
        <x:v>F26</x:v>
      </x:c>
      <x:c r="B331" s="22" t="str">
        <x:v>TRAE</x:v>
      </x:c>
      <x:c r="C331" s="30" t="str">
        <x:f>INDEX('Matrix'!$C$6:$P$35,MATCH(A331,'Matrix'!$A$6:$A$35,0),MATCH(B331,'Matrix'!$C$4:$P$4,0))</x:f>
        <x:v>U</x:v>
      </x:c>
      <x:c r="D331" s="22" t="str">
        <x:v>Self-application</x:v>
      </x:c>
      <x:c r="E331" s="22" t="str">
        <x:v>TRAE Chinese workflows</x:v>
      </x:c>
      <x:c r="F331" s="22" t="str">
        <x:v>Inspected sources do not establish qualified method self-use.</x:v>
      </x:c>
      <x:c r="G331" s="22" t="str">
        <x:v>Published coverage; analyst judgment</x:v>
      </x:c>
      <x:c r="H331" s="22" t="str">
        <x:v>T2, T3</x:v>
      </x:c>
      <x:c r="I331" s="50" t="str">
        <x:f>INDEX('Sources'!$D$6:$D$66,MATCH("T2",'Sources'!$A$6:$A$66,0))&amp;CHAR(10)&amp;INDEX('Sources'!$D$6:$D$66,MATCH("T3",'Sources'!$A$6:$A$66,0))</x:f>
        <x:v>https://docs.trae.cn/ide_built-in-agent
https://docs.trae.cn/ide_skills</x:v>
      </x:c>
    </x:row>
    <x:row r="332" ht="46.5" customHeight="1">
      <x:c r="A332" s="22" t="str">
        <x:v>F27</x:v>
      </x:c>
      <x:c r="B332" s="22" t="str">
        <x:v>TRAE</x:v>
      </x:c>
      <x:c r="C332" s="30" t="n">
        <x:f>INDEX('Matrix'!$C$6:$P$35,MATCH(A332,'Matrix'!$A$6:$A$35,0),MATCH(B332,'Matrix'!$C$4:$P$4,0))</x:f>
        <x:v>2</x:v>
      </x:c>
      <x:c r="D332" s="22" t="str">
        <x:v>AI-native method representation</x:v>
      </x:c>
      <x:c r="E332" s="22" t="str">
        <x:v>TRAE Chinese workflows</x:v>
      </x:c>
      <x:c r="F332" s="22" t="str">
        <x:v>Global/project skills, debugging SOPs and routine data-analysis procedures.</x:v>
      </x:c>
      <x:c r="G332" s="22" t="str">
        <x:v>Published coverage; analyst judgment</x:v>
      </x:c>
      <x:c r="H332" s="22" t="str">
        <x:v>T2, T3</x:v>
      </x:c>
      <x:c r="I332" s="50" t="str">
        <x:f>INDEX('Sources'!$D$6:$D$66,MATCH("T2",'Sources'!$A$6:$A$66,0))&amp;CHAR(10)&amp;INDEX('Sources'!$D$6:$D$66,MATCH("T3",'Sources'!$A$6:$A$66,0))</x:f>
        <x:v>https://docs.trae.cn/ide_built-in-agent
https://docs.trae.cn/ide_skills</x:v>
      </x:c>
    </x:row>
    <x:row r="333" ht="46.5" customHeight="1">
      <x:c r="A333" s="22" t="str">
        <x:v>F28</x:v>
      </x:c>
      <x:c r="B333" s="22" t="str">
        <x:v>TRAE</x:v>
      </x:c>
      <x:c r="C333" s="30" t="n">
        <x:f>INDEX('Matrix'!$C$6:$P$35,MATCH(A333,'Matrix'!$A$6:$A$35,0),MATCH(B333,'Matrix'!$C$4:$P$4,0))</x:f>
        <x:v>3</x:v>
      </x:c>
      <x:c r="D333" s="22" t="str">
        <x:v>Onboarding and reader guidance</x:v>
      </x:c>
      <x:c r="E333" s="22" t="str">
        <x:v>TRAE Chinese workflows</x:v>
      </x:c>
      <x:c r="F333" s="22" t="str">
        <x:v>Global/project skills, debugging SOPs and routine data-analysis procedures.</x:v>
      </x:c>
      <x:c r="G333" s="22" t="str">
        <x:v>Published coverage; analyst judgment</x:v>
      </x:c>
      <x:c r="H333" s="22" t="str">
        <x:v>T2, T3</x:v>
      </x:c>
      <x:c r="I333" s="50" t="str">
        <x:f>INDEX('Sources'!$D$6:$D$66,MATCH("T2",'Sources'!$A$6:$A$66,0))&amp;CHAR(10)&amp;INDEX('Sources'!$D$6:$D$66,MATCH("T3",'Sources'!$A$6:$A$66,0))</x:f>
        <x:v>https://docs.trae.cn/ide_built-in-agent
https://docs.trae.cn/ide_skills</x:v>
      </x:c>
    </x:row>
    <x:row r="334" ht="46.5" customHeight="1">
      <x:c r="A334" s="22" t="str">
        <x:v>F29</x:v>
      </x:c>
      <x:c r="B334" s="22" t="str">
        <x:v>TRAE</x:v>
      </x:c>
      <x:c r="C334" s="30" t="str">
        <x:f>INDEX('Matrix'!$C$6:$P$35,MATCH(A334,'Matrix'!$A$6:$A$35,0),MATCH(B334,'Matrix'!$C$4:$P$4,0))</x:f>
        <x:v>U</x:v>
      </x:c>
      <x:c r="D334" s="22" t="str">
        <x:v>Evidence of effectiveness</x:v>
      </x:c>
      <x:c r="E334" s="22" t="str">
        <x:v>TRAE Chinese workflows</x:v>
      </x:c>
      <x:c r="F334" s="22" t="str">
        <x:v>Inspected sources do not establish whole-method effectiveness.</x:v>
      </x:c>
      <x:c r="G334" s="22" t="str">
        <x:v>Published coverage; analyst judgment</x:v>
      </x:c>
      <x:c r="H334" s="22" t="str">
        <x:v>T2, T3</x:v>
      </x:c>
      <x:c r="I334" s="50" t="str">
        <x:f>INDEX('Sources'!$D$6:$D$66,MATCH("T2",'Sources'!$A$6:$A$66,0))&amp;CHAR(10)&amp;INDEX('Sources'!$D$6:$D$66,MATCH("T3",'Sources'!$A$6:$A$66,0))</x:f>
        <x:v>https://docs.trae.cn/ide_built-in-agent
https://docs.trae.cn/ide_skills</x:v>
      </x:c>
    </x:row>
    <x:row r="335" ht="46.5" customHeight="1">
      <x:c r="A335" s="22" t="str">
        <x:v>F30</x:v>
      </x:c>
      <x:c r="B335" s="22" t="str">
        <x:v>TRAE</x:v>
      </x:c>
      <x:c r="C335" s="30" t="str">
        <x:f>INDEX('Matrix'!$C$6:$P$35,MATCH(A335,'Matrix'!$A$6:$A$35,0),MATCH(B335,'Matrix'!$C$4:$P$4,0))</x:f>
        <x:v>U</x:v>
      </x:c>
      <x:c r="D335" s="22" t="str">
        <x:v>Work and resource measurement</x:v>
      </x:c>
      <x:c r="E335" s="22" t="str">
        <x:v>TRAE Chinese workflows</x:v>
      </x:c>
      <x:c r="F335" s="22" t="str">
        <x:v>Inspected sources do not establish resource/stall-limit treatment.</x:v>
      </x:c>
      <x:c r="G335" s="22" t="str">
        <x:v>Published coverage; analyst judgment</x:v>
      </x:c>
      <x:c r="H335" s="22" t="str">
        <x:v>T2, T3</x:v>
      </x:c>
      <x:c r="I335" s="50" t="str">
        <x:f>INDEX('Sources'!$D$6:$D$66,MATCH("T2",'Sources'!$A$6:$A$66,0))&amp;CHAR(10)&amp;INDEX('Sources'!$D$6:$D$66,MATCH("T3",'Sources'!$A$6:$A$66,0))</x:f>
        <x:v>https://docs.trae.cn/ide_built-in-agent
https://docs.trae.cn/ide_skills</x:v>
      </x:c>
    </x:row>
    <x:row r="336" ht="46.5" customHeight="1">
      <x:c r="A336" s="22" t="str">
        <x:v>F01</x:v>
      </x:c>
      <x:c r="B336" s="22" t="str">
        <x:v>METAGPT</x:v>
      </x:c>
      <x:c r="C336" s="30" t="n">
        <x:f>INDEX('Matrix'!$C$6:$P$35,MATCH(A336,'Matrix'!$A$6:$A$35,0),MATCH(B336,'Matrix'!$C$4:$P$4,0))</x:f>
        <x:v>3</x:v>
      </x:c>
      <x:c r="D336" s="22" t="str">
        <x:v>Intent and success criteria</x:v>
      </x:c>
      <x:c r="E336" s="22" t="str">
        <x:v>MetaGPT</x:v>
      </x:c>
      <x:c r="F336" s="22" t="str">
        <x:v>Role SOPs produce PRDs, architecture/interfaces and assigned implementation tasks.</x:v>
      </x:c>
      <x:c r="G336" s="22" t="str">
        <x:v>Published coverage; analyst judgment</x:v>
      </x:c>
      <x:c r="H336" s="22" t="str">
        <x:v>M1, M3</x:v>
      </x:c>
      <x:c r="I336" s="50" t="str">
        <x:f>INDEX('Sources'!$D$6:$D$66,MATCH("M1",'Sources'!$A$6:$A$66,0))&amp;CHAR(10)&amp;INDEX('Sources'!$D$6:$D$66,MATCH("M3",'Sources'!$A$6:$A$66,0))</x:f>
        <x:v>https://arxiv.org/html/2308.00352
https://docs.deepwisdom.ai/main/en/guide/tutorials/multi_agent_101.html</x:v>
      </x:c>
    </x:row>
    <x:row r="337" ht="46.5" customHeight="1">
      <x:c r="A337" s="22" t="str">
        <x:v>F02</x:v>
      </x:c>
      <x:c r="B337" s="22" t="str">
        <x:v>METAGPT</x:v>
      </x:c>
      <x:c r="C337" s="30" t="n">
        <x:f>INDEX('Matrix'!$C$6:$P$35,MATCH(A337,'Matrix'!$A$6:$A$35,0),MATCH(B337,'Matrix'!$C$4:$P$4,0))</x:f>
        <x:v>3</x:v>
      </x:c>
      <x:c r="D337" s="22" t="str">
        <x:v>Product definition and scope</x:v>
      </x:c>
      <x:c r="E337" s="22" t="str">
        <x:v>MetaGPT</x:v>
      </x:c>
      <x:c r="F337" s="22" t="str">
        <x:v>Role SOPs produce PRDs, architecture/interfaces and assigned implementation tasks.</x:v>
      </x:c>
      <x:c r="G337" s="22" t="str">
        <x:v>Published coverage; analyst judgment</x:v>
      </x:c>
      <x:c r="H337" s="22" t="str">
        <x:v>M1, M3</x:v>
      </x:c>
      <x:c r="I337" s="50" t="str">
        <x:f>INDEX('Sources'!$D$6:$D$66,MATCH("M1",'Sources'!$A$6:$A$66,0))&amp;CHAR(10)&amp;INDEX('Sources'!$D$6:$D$66,MATCH("M3",'Sources'!$A$6:$A$66,0))</x:f>
        <x:v>https://arxiv.org/html/2308.00352
https://docs.deepwisdom.ai/main/en/guide/tutorials/multi_agent_101.html</x:v>
      </x:c>
    </x:row>
    <x:row r="338" ht="46.5" customHeight="1">
      <x:c r="A338" s="22" t="str">
        <x:v>F03</x:v>
      </x:c>
      <x:c r="B338" s="22" t="str">
        <x:v>METAGPT</x:v>
      </x:c>
      <x:c r="C338" s="30" t="n">
        <x:f>INDEX('Matrix'!$C$6:$P$35,MATCH(A338,'Matrix'!$A$6:$A$35,0),MATCH(B338,'Matrix'!$C$4:$P$4,0))</x:f>
        <x:v>3</x:v>
      </x:c>
      <x:c r="D338" s="22" t="str">
        <x:v>Requirements before construction</x:v>
      </x:c>
      <x:c r="E338" s="22" t="str">
        <x:v>MetaGPT</x:v>
      </x:c>
      <x:c r="F338" s="22" t="str">
        <x:v>Role SOPs produce PRDs, architecture/interfaces and assigned implementation tasks.</x:v>
      </x:c>
      <x:c r="G338" s="22" t="str">
        <x:v>Published coverage; analyst judgment</x:v>
      </x:c>
      <x:c r="H338" s="22" t="str">
        <x:v>M1, M3</x:v>
      </x:c>
      <x:c r="I338" s="50" t="str">
        <x:f>INDEX('Sources'!$D$6:$D$66,MATCH("M1",'Sources'!$A$6:$A$66,0))&amp;CHAR(10)&amp;INDEX('Sources'!$D$6:$D$66,MATCH("M3",'Sources'!$A$6:$A$66,0))</x:f>
        <x:v>https://arxiv.org/html/2308.00352
https://docs.deepwisdom.ai/main/en/guide/tutorials/multi_agent_101.html</x:v>
      </x:c>
    </x:row>
    <x:row r="339" ht="46.5" customHeight="1">
      <x:c r="A339" s="22" t="str">
        <x:v>F04</x:v>
      </x:c>
      <x:c r="B339" s="22" t="str">
        <x:v>METAGPT</x:v>
      </x:c>
      <x:c r="C339" s="30" t="n">
        <x:f>INDEX('Matrix'!$C$6:$P$35,MATCH(A339,'Matrix'!$A$6:$A$35,0),MATCH(B339,'Matrix'!$C$4:$P$4,0))</x:f>
        <x:v>3</x:v>
      </x:c>
      <x:c r="D339" s="22" t="str">
        <x:v>Design separated from requirements</x:v>
      </x:c>
      <x:c r="E339" s="22" t="str">
        <x:v>MetaGPT</x:v>
      </x:c>
      <x:c r="F339" s="22" t="str">
        <x:v>Role SOPs produce PRDs, architecture/interfaces and assigned implementation tasks.</x:v>
      </x:c>
      <x:c r="G339" s="22" t="str">
        <x:v>Published coverage; analyst judgment</x:v>
      </x:c>
      <x:c r="H339" s="22" t="str">
        <x:v>M1, M3</x:v>
      </x:c>
      <x:c r="I339" s="50" t="str">
        <x:f>INDEX('Sources'!$D$6:$D$66,MATCH("M1",'Sources'!$A$6:$A$66,0))&amp;CHAR(10)&amp;INDEX('Sources'!$D$6:$D$66,MATCH("M3",'Sources'!$A$6:$A$66,0))</x:f>
        <x:v>https://arxiv.org/html/2308.00352
https://docs.deepwisdom.ai/main/en/guide/tutorials/multi_agent_101.html</x:v>
      </x:c>
    </x:row>
    <x:row r="340" ht="46.5" customHeight="1">
      <x:c r="A340" s="22" t="str">
        <x:v>F05</x:v>
      </x:c>
      <x:c r="B340" s="22" t="str">
        <x:v>METAGPT</x:v>
      </x:c>
      <x:c r="C340" s="30" t="n">
        <x:f>INDEX('Matrix'!$C$6:$P$35,MATCH(A340,'Matrix'!$A$6:$A$35,0),MATCH(B340,'Matrix'!$C$4:$P$4,0))</x:f>
        <x:v>3</x:v>
      </x:c>
      <x:c r="D340" s="22" t="str">
        <x:v>Traceability across stages</x:v>
      </x:c>
      <x:c r="E340" s="22" t="str">
        <x:v>MetaGPT</x:v>
      </x:c>
      <x:c r="F340" s="22" t="str">
        <x:v>Role SOPs produce PRDs, architecture/interfaces and assigned implementation tasks.</x:v>
      </x:c>
      <x:c r="G340" s="22" t="str">
        <x:v>Published coverage; analyst judgment</x:v>
      </x:c>
      <x:c r="H340" s="22" t="str">
        <x:v>M1, M3</x:v>
      </x:c>
      <x:c r="I340" s="50" t="str">
        <x:f>INDEX('Sources'!$D$6:$D$66,MATCH("M1",'Sources'!$A$6:$A$66,0))&amp;CHAR(10)&amp;INDEX('Sources'!$D$6:$D$66,MATCH("M3",'Sources'!$A$6:$A$66,0))</x:f>
        <x:v>https://arxiv.org/html/2308.00352
https://docs.deepwisdom.ai/main/en/guide/tutorials/multi_agent_101.html</x:v>
      </x:c>
    </x:row>
    <x:row r="341" ht="46.5" customHeight="1">
      <x:c r="A341" s="22" t="str">
        <x:v>F06</x:v>
      </x:c>
      <x:c r="B341" s="22" t="str">
        <x:v>METAGPT</x:v>
      </x:c>
      <x:c r="C341" s="30" t="n">
        <x:f>INDEX('Matrix'!$C$6:$P$35,MATCH(A341,'Matrix'!$A$6:$A$35,0),MATCH(B341,'Matrix'!$C$4:$P$4,0))</x:f>
        <x:v>1</x:v>
      </x:c>
      <x:c r="D341" s="22" t="str">
        <x:v>Domain concepts and identity</x:v>
      </x:c>
      <x:c r="E341" s="22" t="str">
        <x:v>MetaGPT</x:v>
      </x:c>
      <x:c r="F341" s="22" t="str">
        <x:v>Role identities and generated data/interface definitions provide basic contextual structure; ownership of product meaning is not established.</x:v>
      </x:c>
      <x:c r="G341" s="22" t="str">
        <x:v>Published coverage; analyst judgment</x:v>
      </x:c>
      <x:c r="H341" s="22" t="str">
        <x:v>M1, M3</x:v>
      </x:c>
      <x:c r="I341" s="50" t="str">
        <x:f>INDEX('Sources'!$D$6:$D$66,MATCH("M1",'Sources'!$A$6:$A$66,0))&amp;CHAR(10)&amp;INDEX('Sources'!$D$6:$D$66,MATCH("M3",'Sources'!$A$6:$A$66,0))</x:f>
        <x:v>https://arxiv.org/html/2308.00352
https://docs.deepwisdom.ai/main/en/guide/tutorials/multi_agent_101.html</x:v>
      </x:c>
    </x:row>
    <x:row r="342" ht="46.5" customHeight="1">
      <x:c r="A342" s="22" t="str">
        <x:v>F07</x:v>
      </x:c>
      <x:c r="B342" s="22" t="str">
        <x:v>METAGPT</x:v>
      </x:c>
      <x:c r="C342" s="30" t="n">
        <x:f>INDEX('Matrix'!$C$6:$P$35,MATCH(A342,'Matrix'!$A$6:$A$35,0),MATCH(B342,'Matrix'!$C$4:$P$4,0))</x:f>
        <x:v>2</x:v>
      </x:c>
      <x:c r="D342" s="22" t="str">
        <x:v>Explicit inputs, outputs and contracts</x:v>
      </x:c>
      <x:c r="E342" s="22" t="str">
        <x:v>MetaGPT</x:v>
      </x:c>
      <x:c r="F342" s="22" t="str">
        <x:v>Structured outputs and custom Roles/Actions compose a software team.</x:v>
      </x:c>
      <x:c r="G342" s="22" t="str">
        <x:v>Published coverage; analyst judgment</x:v>
      </x:c>
      <x:c r="H342" s="22" t="str">
        <x:v>M1, M3</x:v>
      </x:c>
      <x:c r="I342" s="50" t="str">
        <x:f>INDEX('Sources'!$D$6:$D$66,MATCH("M1",'Sources'!$A$6:$A$66,0))&amp;CHAR(10)&amp;INDEX('Sources'!$D$6:$D$66,MATCH("M3",'Sources'!$A$6:$A$66,0))</x:f>
        <x:v>https://arxiv.org/html/2308.00352
https://docs.deepwisdom.ai/main/en/guide/tutorials/multi_agent_101.html</x:v>
      </x:c>
    </x:row>
    <x:row r="343" ht="46.5" customHeight="1">
      <x:c r="A343" s="22" t="str">
        <x:v>F08</x:v>
      </x:c>
      <x:c r="B343" s="22" t="str">
        <x:v>METAGPT</x:v>
      </x:c>
      <x:c r="C343" s="30" t="n">
        <x:f>INDEX('Matrix'!$C$6:$P$35,MATCH(A343,'Matrix'!$A$6:$A$35,0),MATCH(B343,'Matrix'!$C$4:$P$4,0))</x:f>
        <x:v>2</x:v>
      </x:c>
      <x:c r="D343" s="22" t="str">
        <x:v>Invariants and semantic constraints</x:v>
      </x:c>
      <x:c r="E343" s="22" t="str">
        <x:v>MetaGPT</x:v>
      </x:c>
      <x:c r="F343" s="22" t="str">
        <x:v>Role constraints and structured handoffs support scoped constraints; semantic invariant-preservation procedures are not established.</x:v>
      </x:c>
      <x:c r="G343" s="22" t="str">
        <x:v>Published coverage; analyst judgment</x:v>
      </x:c>
      <x:c r="H343" s="22" t="str">
        <x:v>M1</x:v>
      </x:c>
      <x:c r="I343" s="50" t="str">
        <x:f>INDEX('Sources'!$D$6:$D$66,MATCH("M1",'Sources'!$A$6:$A$66,0))</x:f>
        <x:v>https://arxiv.org/html/2308.00352</x:v>
      </x:c>
    </x:row>
    <x:row r="344" ht="46.5" customHeight="1">
      <x:c r="A344" s="22" t="str">
        <x:v>F09</x:v>
      </x:c>
      <x:c r="B344" s="22" t="str">
        <x:v>METAGPT</x:v>
      </x:c>
      <x:c r="C344" s="30" t="n">
        <x:f>INDEX('Matrix'!$C$6:$P$35,MATCH(A344,'Matrix'!$A$6:$A$35,0),MATCH(B344,'Matrix'!$C$4:$P$4,0))</x:f>
        <x:v>1</x:v>
      </x:c>
      <x:c r="D344" s="22" t="str">
        <x:v>Composition and formal reasoning</x:v>
      </x:c>
      <x:c r="E344" s="22" t="str">
        <x:v>MetaGPT</x:v>
      </x:c>
      <x:c r="F344" s="22" t="str">
        <x:v>Structured messages and role composition are documented; explicit composition laws beyond workflow sequencing are not established.</x:v>
      </x:c>
      <x:c r="G344" s="22" t="str">
        <x:v>Published coverage; analyst judgment</x:v>
      </x:c>
      <x:c r="H344" s="22" t="str">
        <x:v>M1, M3</x:v>
      </x:c>
      <x:c r="I344" s="50" t="str">
        <x:f>INDEX('Sources'!$D$6:$D$66,MATCH("M1",'Sources'!$A$6:$A$66,0))&amp;CHAR(10)&amp;INDEX('Sources'!$D$6:$D$66,MATCH("M3",'Sources'!$A$6:$A$66,0))</x:f>
        <x:v>https://arxiv.org/html/2308.00352
https://docs.deepwisdom.ai/main/en/guide/tutorials/multi_agent_101.html</x:v>
      </x:c>
    </x:row>
    <x:row r="345" ht="54" customHeight="1">
      <x:c r="A345" s="22" t="str">
        <x:v>F10</x:v>
      </x:c>
      <x:c r="B345" s="22" t="str">
        <x:v>METAGPT</x:v>
      </x:c>
      <x:c r="C345" s="30" t="n">
        <x:f>INDEX('Matrix'!$C$6:$P$35,MATCH(A345,'Matrix'!$A$6:$A$35,0),MATCH(B345,'Matrix'!$C$4:$P$4,0))</x:f>
        <x:v>3</x:v>
      </x:c>
      <x:c r="D345" s="22" t="str">
        <x:v>Relevant context selection</x:v>
      </x:c>
      <x:c r="E345" s="22" t="str">
        <x:v>MetaGPT</x:v>
      </x:c>
      <x:c r="F345" s="22" t="str">
        <x:v>Message subscriptions, prerequisite actions and serialized team/role/memory recovery.</x:v>
      </x:c>
      <x:c r="G345" s="22" t="str">
        <x:v>Published coverage; analyst judgment</x:v>
      </x:c>
      <x:c r="H345" s="22" t="str">
        <x:v>M1, M3, M4</x:v>
      </x:c>
      <x:c r="I345" s="50" t="str">
        <x:f>INDEX('Sources'!$D$6:$D$66,MATCH("M1",'Sources'!$A$6:$A$66,0))&amp;CHAR(10)&amp;INDEX('Sources'!$D$6:$D$66,MATCH("M3",'Sources'!$A$6:$A$66,0))&amp;CHAR(10)&amp;INDEX('Sources'!$D$6:$D$66,MATCH("M4",'Sources'!$A$6:$A$66,0))</x:f>
        <x:v>https://arxiv.org/html/2308.00352
https://docs.deepwisdom.ai/main/en/guide/tutorials/multi_agent_101.html
https://docs.deepwisdom.ai/main/en/guide/in_depth_guides/breakpoint_recovery.html</x:v>
      </x:c>
    </x:row>
    <x:row r="346" ht="54" customHeight="1">
      <x:c r="A346" s="22" t="str">
        <x:v>F11</x:v>
      </x:c>
      <x:c r="B346" s="22" t="str">
        <x:v>METAGPT</x:v>
      </x:c>
      <x:c r="C346" s="30" t="n">
        <x:f>INDEX('Matrix'!$C$6:$P$35,MATCH(A346,'Matrix'!$A$6:$A$35,0),MATCH(B346,'Matrix'!$C$4:$P$4,0))</x:f>
        <x:v>2</x:v>
      </x:c>
      <x:c r="D346" s="22" t="str">
        <x:v>Attention fit and proportionality</x:v>
      </x:c>
      <x:c r="E346" s="22" t="str">
        <x:v>MetaGPT</x:v>
      </x:c>
      <x:c r="F346" s="22" t="str">
        <x:v>Message subscriptions, prerequisite actions and serialized team/role/memory recovery.</x:v>
      </x:c>
      <x:c r="G346" s="22" t="str">
        <x:v>Published coverage; analyst judgment</x:v>
      </x:c>
      <x:c r="H346" s="22" t="str">
        <x:v>M1, M3, M4</x:v>
      </x:c>
      <x:c r="I346" s="50" t="str">
        <x:f>INDEX('Sources'!$D$6:$D$66,MATCH("M1",'Sources'!$A$6:$A$66,0))&amp;CHAR(10)&amp;INDEX('Sources'!$D$6:$D$66,MATCH("M3",'Sources'!$A$6:$A$66,0))&amp;CHAR(10)&amp;INDEX('Sources'!$D$6:$D$66,MATCH("M4",'Sources'!$A$6:$A$66,0))</x:f>
        <x:v>https://arxiv.org/html/2308.00352
https://docs.deepwisdom.ai/main/en/guide/tutorials/multi_agent_101.html
https://docs.deepwisdom.ai/main/en/guide/in_depth_guides/breakpoint_recovery.html</x:v>
      </x:c>
    </x:row>
    <x:row r="347" ht="54" customHeight="1">
      <x:c r="A347" s="22" t="str">
        <x:v>F12</x:v>
      </x:c>
      <x:c r="B347" s="22" t="str">
        <x:v>METAGPT</x:v>
      </x:c>
      <x:c r="C347" s="30" t="n">
        <x:f>INDEX('Matrix'!$C$6:$P$35,MATCH(A347,'Matrix'!$A$6:$A$35,0),MATCH(B347,'Matrix'!$C$4:$P$4,0))</x:f>
        <x:v>3</x:v>
      </x:c>
      <x:c r="D347" s="22" t="str">
        <x:v>Bounded probabilistic construction</x:v>
      </x:c>
      <x:c r="E347" s="22" t="str">
        <x:v>MetaGPT</x:v>
      </x:c>
      <x:c r="F347" s="22" t="str">
        <x:v>Message subscriptions, prerequisite actions and serialized team/role/memory recovery.</x:v>
      </x:c>
      <x:c r="G347" s="22" t="str">
        <x:v>Published coverage; analyst judgment</x:v>
      </x:c>
      <x:c r="H347" s="22" t="str">
        <x:v>M1, M3, M4</x:v>
      </x:c>
      <x:c r="I347" s="50" t="str">
        <x:f>INDEX('Sources'!$D$6:$D$66,MATCH("M1",'Sources'!$A$6:$A$66,0))&amp;CHAR(10)&amp;INDEX('Sources'!$D$6:$D$66,MATCH("M3",'Sources'!$A$6:$A$66,0))&amp;CHAR(10)&amp;INDEX('Sources'!$D$6:$D$66,MATCH("M4",'Sources'!$A$6:$A$66,0))</x:f>
        <x:v>https://arxiv.org/html/2308.00352
https://docs.deepwisdom.ai/main/en/guide/tutorials/multi_agent_101.html
https://docs.deepwisdom.ai/main/en/guide/in_depth_guides/breakpoint_recovery.html</x:v>
      </x:c>
    </x:row>
    <x:row r="348" ht="54" customHeight="1">
      <x:c r="A348" s="22" t="str">
        <x:v>F13</x:v>
      </x:c>
      <x:c r="B348" s="22" t="str">
        <x:v>METAGPT</x:v>
      </x:c>
      <x:c r="C348" s="30" t="n">
        <x:f>INDEX('Matrix'!$C$6:$P$35,MATCH(A348,'Matrix'!$A$6:$A$35,0),MATCH(B348,'Matrix'!$C$4:$P$4,0))</x:f>
        <x:v>3</x:v>
      </x:c>
      <x:c r="D348" s="22" t="str">
        <x:v>Decomposition and recursive workflows</x:v>
      </x:c>
      <x:c r="E348" s="22" t="str">
        <x:v>MetaGPT</x:v>
      </x:c>
      <x:c r="F348" s="22" t="str">
        <x:v>Message subscriptions, prerequisite actions and serialized team/role/memory recovery.</x:v>
      </x:c>
      <x:c r="G348" s="22" t="str">
        <x:v>Published coverage; analyst judgment</x:v>
      </x:c>
      <x:c r="H348" s="22" t="str">
        <x:v>M1, M3, M4</x:v>
      </x:c>
      <x:c r="I348" s="50" t="str">
        <x:f>INDEX('Sources'!$D$6:$D$66,MATCH("M1",'Sources'!$A$6:$A$66,0))&amp;CHAR(10)&amp;INDEX('Sources'!$D$6:$D$66,MATCH("M3",'Sources'!$A$6:$A$66,0))&amp;CHAR(10)&amp;INDEX('Sources'!$D$6:$D$66,MATCH("M4",'Sources'!$A$6:$A$66,0))</x:f>
        <x:v>https://arxiv.org/html/2308.00352
https://docs.deepwisdom.ai/main/en/guide/tutorials/multi_agent_101.html
https://docs.deepwisdom.ai/main/en/guide/in_depth_guides/breakpoint_recovery.html</x:v>
      </x:c>
    </x:row>
    <x:row r="349" ht="54" customHeight="1">
      <x:c r="A349" s="22" t="str">
        <x:v>F14</x:v>
      </x:c>
      <x:c r="B349" s="22" t="str">
        <x:v>METAGPT</x:v>
      </x:c>
      <x:c r="C349" s="30" t="n">
        <x:f>INDEX('Matrix'!$C$6:$P$35,MATCH(A349,'Matrix'!$A$6:$A$35,0),MATCH(B349,'Matrix'!$C$4:$P$4,0))</x:f>
        <x:v>3</x:v>
      </x:c>
      <x:c r="D349" s="22" t="str">
        <x:v>Durable state and resumption</x:v>
      </x:c>
      <x:c r="E349" s="22" t="str">
        <x:v>MetaGPT</x:v>
      </x:c>
      <x:c r="F349" s="22" t="str">
        <x:v>Message subscriptions, prerequisite actions and serialized team/role/memory recovery.</x:v>
      </x:c>
      <x:c r="G349" s="22" t="str">
        <x:v>Published coverage; analyst judgment</x:v>
      </x:c>
      <x:c r="H349" s="22" t="str">
        <x:v>M1, M3, M4</x:v>
      </x:c>
      <x:c r="I349" s="50" t="str">
        <x:f>INDEX('Sources'!$D$6:$D$66,MATCH("M1",'Sources'!$A$6:$A$66,0))&amp;CHAR(10)&amp;INDEX('Sources'!$D$6:$D$66,MATCH("M3",'Sources'!$A$6:$A$66,0))&amp;CHAR(10)&amp;INDEX('Sources'!$D$6:$D$66,MATCH("M4",'Sources'!$A$6:$A$66,0))</x:f>
        <x:v>https://arxiv.org/html/2308.00352
https://docs.deepwisdom.ai/main/en/guide/tutorials/multi_agent_101.html
https://docs.deepwisdom.ai/main/en/guide/in_depth_guides/breakpoint_recovery.html</x:v>
      </x:c>
    </x:row>
    <x:row r="350" ht="54" customHeight="1">
      <x:c r="A350" s="22" t="str">
        <x:v>F15</x:v>
      </x:c>
      <x:c r="B350" s="22" t="str">
        <x:v>METAGPT</x:v>
      </x:c>
      <x:c r="C350" s="30" t="n">
        <x:f>INDEX('Matrix'!$C$6:$P$35,MATCH(A350,'Matrix'!$A$6:$A$35,0),MATCH(B350,'Matrix'!$C$4:$P$4,0))</x:f>
        <x:v>3</x:v>
      </x:c>
      <x:c r="D350" s="22" t="str">
        <x:v>Observation and next-action feedback</x:v>
      </x:c>
      <x:c r="E350" s="22" t="str">
        <x:v>MetaGPT</x:v>
      </x:c>
      <x:c r="F350" s="22" t="str">
        <x:v>Message subscriptions, prerequisite actions and serialized team/role/memory recovery.</x:v>
      </x:c>
      <x:c r="G350" s="22" t="str">
        <x:v>Published coverage; analyst judgment</x:v>
      </x:c>
      <x:c r="H350" s="22" t="str">
        <x:v>M1, M3, M4</x:v>
      </x:c>
      <x:c r="I350" s="50" t="str">
        <x:f>INDEX('Sources'!$D$6:$D$66,MATCH("M1",'Sources'!$A$6:$A$66,0))&amp;CHAR(10)&amp;INDEX('Sources'!$D$6:$D$66,MATCH("M3",'Sources'!$A$6:$A$66,0))&amp;CHAR(10)&amp;INDEX('Sources'!$D$6:$D$66,MATCH("M4",'Sources'!$A$6:$A$66,0))</x:f>
        <x:v>https://arxiv.org/html/2308.00352
https://docs.deepwisdom.ai/main/en/guide/tutorials/multi_agent_101.html
https://docs.deepwisdom.ai/main/en/guide/in_depth_guides/breakpoint_recovery.html</x:v>
      </x:c>
    </x:row>
    <x:row r="351" ht="54" customHeight="1">
      <x:c r="A351" s="22" t="str">
        <x:v>F16</x:v>
      </x:c>
      <x:c r="B351" s="22" t="str">
        <x:v>METAGPT</x:v>
      </x:c>
      <x:c r="C351" s="30" t="n">
        <x:f>INDEX('Matrix'!$C$6:$P$35,MATCH(A351,'Matrix'!$A$6:$A$35,0),MATCH(B351,'Matrix'!$C$4:$P$4,0))</x:f>
        <x:v>2</x:v>
      </x:c>
      <x:c r="D351" s="22" t="str">
        <x:v>Uncertainty, stops and re-entry</x:v>
      </x:c>
      <x:c r="E351" s="22" t="str">
        <x:v>MetaGPT</x:v>
      </x:c>
      <x:c r="F351" s="22" t="str">
        <x:v>Message subscriptions, prerequisite actions and serialized team/role/memory recovery.</x:v>
      </x:c>
      <x:c r="G351" s="22" t="str">
        <x:v>Published coverage; analyst judgment</x:v>
      </x:c>
      <x:c r="H351" s="22" t="str">
        <x:v>M1, M3, M4</x:v>
      </x:c>
      <x:c r="I351" s="50" t="str">
        <x:f>INDEX('Sources'!$D$6:$D$66,MATCH("M1",'Sources'!$A$6:$A$66,0))&amp;CHAR(10)&amp;INDEX('Sources'!$D$6:$D$66,MATCH("M3",'Sources'!$A$6:$A$66,0))&amp;CHAR(10)&amp;INDEX('Sources'!$D$6:$D$66,MATCH("M4",'Sources'!$A$6:$A$66,0))</x:f>
        <x:v>https://arxiv.org/html/2308.00352
https://docs.deepwisdom.ai/main/en/guide/tutorials/multi_agent_101.html
https://docs.deepwisdom.ai/main/en/guide/in_depth_guides/breakpoint_recovery.html</x:v>
      </x:c>
    </x:row>
    <x:row r="352" ht="46.5" customHeight="1">
      <x:c r="A352" s="22" t="str">
        <x:v>F17</x:v>
      </x:c>
      <x:c r="B352" s="22" t="str">
        <x:v>METAGPT</x:v>
      </x:c>
      <x:c r="C352" s="30" t="n">
        <x:f>INDEX('Matrix'!$C$6:$P$35,MATCH(A352,'Matrix'!$A$6:$A$35,0),MATCH(B352,'Matrix'!$C$4:$P$4,0))</x:f>
        <x:v>1</x:v>
      </x:c>
      <x:c r="D352" s="22" t="str">
        <x:v>Permissions and effect boundaries</x:v>
      </x:c>
      <x:c r="E352" s="22" t="str">
        <x:v>MetaGPT</x:v>
      </x:c>
      <x:c r="F352" s="22" t="str">
        <x:v>QA/reviewer roles and executable unit-test feedback.</x:v>
      </x:c>
      <x:c r="G352" s="22" t="str">
        <x:v>Published coverage; analyst judgment</x:v>
      </x:c>
      <x:c r="H352" s="22" t="str">
        <x:v>M1, M3</x:v>
      </x:c>
      <x:c r="I352" s="50" t="str">
        <x:f>INDEX('Sources'!$D$6:$D$66,MATCH("M1",'Sources'!$A$6:$A$66,0))&amp;CHAR(10)&amp;INDEX('Sources'!$D$6:$D$66,MATCH("M3",'Sources'!$A$6:$A$66,0))</x:f>
        <x:v>https://arxiv.org/html/2308.00352
https://docs.deepwisdom.ai/main/en/guide/tutorials/multi_agent_101.html</x:v>
      </x:c>
    </x:row>
    <x:row r="353" ht="46.5" customHeight="1">
      <x:c r="A353" s="22" t="str">
        <x:v>F18</x:v>
      </x:c>
      <x:c r="B353" s="22" t="str">
        <x:v>METAGPT</x:v>
      </x:c>
      <x:c r="C353" s="30" t="n">
        <x:f>INDEX('Matrix'!$C$6:$P$35,MATCH(A353,'Matrix'!$A$6:$A$35,0),MATCH(B353,'Matrix'!$C$4:$P$4,0))</x:f>
        <x:v>2</x:v>
      </x:c>
      <x:c r="D353" s="22" t="str">
        <x:v>Independent assessment</x:v>
      </x:c>
      <x:c r="E353" s="22" t="str">
        <x:v>MetaGPT</x:v>
      </x:c>
      <x:c r="F353" s="22" t="str">
        <x:v>Role separation exists; blind or institutionally independent acceptance is not established.</x:v>
      </x:c>
      <x:c r="G353" s="22" t="str">
        <x:v>Published coverage; analyst judgment</x:v>
      </x:c>
      <x:c r="H353" s="22" t="str">
        <x:v>M1, M3</x:v>
      </x:c>
      <x:c r="I353" s="50" t="str">
        <x:f>INDEX('Sources'!$D$6:$D$66,MATCH("M1",'Sources'!$A$6:$A$66,0))&amp;CHAR(10)&amp;INDEX('Sources'!$D$6:$D$66,MATCH("M3",'Sources'!$A$6:$A$66,0))</x:f>
        <x:v>https://arxiv.org/html/2308.00352
https://docs.deepwisdom.ai/main/en/guide/tutorials/multi_agent_101.html</x:v>
      </x:c>
    </x:row>
    <x:row r="354" ht="46.5" customHeight="1">
      <x:c r="A354" s="22" t="str">
        <x:v>F19</x:v>
      </x:c>
      <x:c r="B354" s="22" t="str">
        <x:v>METAGPT</x:v>
      </x:c>
      <x:c r="C354" s="30" t="n">
        <x:f>INDEX('Matrix'!$C$6:$P$35,MATCH(A354,'Matrix'!$A$6:$A$35,0),MATCH(B354,'Matrix'!$C$4:$P$4,0))</x:f>
        <x:v>3</x:v>
      </x:c>
      <x:c r="D354" s="22" t="str">
        <x:v>Operational and negative tests</x:v>
      </x:c>
      <x:c r="E354" s="22" t="str">
        <x:v>MetaGPT</x:v>
      </x:c>
      <x:c r="F354" s="22" t="str">
        <x:v>QA/reviewer roles and executable unit-test feedback.</x:v>
      </x:c>
      <x:c r="G354" s="22" t="str">
        <x:v>Published coverage; analyst judgment</x:v>
      </x:c>
      <x:c r="H354" s="22" t="str">
        <x:v>M1, M3</x:v>
      </x:c>
      <x:c r="I354" s="50" t="str">
        <x:f>INDEX('Sources'!$D$6:$D$66,MATCH("M1",'Sources'!$A$6:$A$66,0))&amp;CHAR(10)&amp;INDEX('Sources'!$D$6:$D$66,MATCH("M3",'Sources'!$A$6:$A$66,0))</x:f>
        <x:v>https://arxiv.org/html/2308.00352
https://docs.deepwisdom.ai/main/en/guide/tutorials/multi_agent_101.html</x:v>
      </x:c>
    </x:row>
    <x:row r="355" ht="46.5" customHeight="1">
      <x:c r="A355" s="22" t="str">
        <x:v>F20</x:v>
      </x:c>
      <x:c r="B355" s="22" t="str">
        <x:v>METAGPT</x:v>
      </x:c>
      <x:c r="C355" s="30" t="n">
        <x:f>INDEX('Matrix'!$C$6:$P$35,MATCH(A355,'Matrix'!$A$6:$A$35,0),MATCH(B355,'Matrix'!$C$4:$P$4,0))</x:f>
        <x:v>2</x:v>
      </x:c>
      <x:c r="D355" s="22" t="str">
        <x:v>Claim and evidence separation</x:v>
      </x:c>
      <x:c r="E355" s="22" t="str">
        <x:v>MetaGPT</x:v>
      </x:c>
      <x:c r="F355" s="22" t="str">
        <x:v>Review/execution results and benchmark dimensions are distinguished; comprehensive claim-versus-acceptance policy is not established.</x:v>
      </x:c>
      <x:c r="G355" s="22" t="str">
        <x:v>Published coverage; analyst judgment</x:v>
      </x:c>
      <x:c r="H355" s="22" t="str">
        <x:v>M1</x:v>
      </x:c>
      <x:c r="I355" s="50" t="str">
        <x:f>INDEX('Sources'!$D$6:$D$66,MATCH("M1",'Sources'!$A$6:$A$66,0))</x:f>
        <x:v>https://arxiv.org/html/2308.00352</x:v>
      </x:c>
    </x:row>
    <x:row r="356" ht="46.5" customHeight="1">
      <x:c r="A356" s="22" t="str">
        <x:v>F21</x:v>
      </x:c>
      <x:c r="B356" s="22" t="str">
        <x:v>METAGPT</x:v>
      </x:c>
      <x:c r="C356" s="30" t="n">
        <x:f>INDEX('Matrix'!$C$6:$P$35,MATCH(A356,'Matrix'!$A$6:$A$35,0),MATCH(B356,'Matrix'!$C$4:$P$4,0))</x:f>
        <x:v>2</x:v>
      </x:c>
      <x:c r="D356" s="22" t="str">
        <x:v>Provenance and auditability</x:v>
      </x:c>
      <x:c r="E356" s="22" t="str">
        <x:v>MetaGPT</x:v>
      </x:c>
      <x:c r="F356" s="22" t="str">
        <x:v>QA/reviewer roles and executable unit-test feedback.</x:v>
      </x:c>
      <x:c r="G356" s="22" t="str">
        <x:v>Published coverage; analyst judgment</x:v>
      </x:c>
      <x:c r="H356" s="22" t="str">
        <x:v>M1, M3</x:v>
      </x:c>
      <x:c r="I356" s="50" t="str">
        <x:f>INDEX('Sources'!$D$6:$D$66,MATCH("M1",'Sources'!$A$6:$A$66,0))&amp;CHAR(10)&amp;INDEX('Sources'!$D$6:$D$66,MATCH("M3",'Sources'!$A$6:$A$66,0))</x:f>
        <x:v>https://arxiv.org/html/2308.00352
https://docs.deepwisdom.ai/main/en/guide/tutorials/multi_agent_101.html</x:v>
      </x:c>
    </x:row>
    <x:row r="357" ht="46.5" customHeight="1">
      <x:c r="A357" s="22" t="str">
        <x:v>F22</x:v>
      </x:c>
      <x:c r="B357" s="22" t="str">
        <x:v>METAGPT</x:v>
      </x:c>
      <x:c r="C357" s="30" t="str">
        <x:f>INDEX('Matrix'!$C$6:$P$35,MATCH(A357,'Matrix'!$A$6:$A$35,0),MATCH(B357,'Matrix'!$C$4:$P$4,0))</x:f>
        <x:v>U</x:v>
      </x:c>
      <x:c r="D357" s="22" t="str">
        <x:v>Change impact and specification revision</x:v>
      </x:c>
      <x:c r="E357" s="22" t="str">
        <x:v>MetaGPT</x:v>
      </x:c>
      <x:c r="F357" s="22" t="str">
        <x:v>Recovery and retained artifacts do not establish changed-specification impact propagation with accepted-result retention.</x:v>
      </x:c>
      <x:c r="G357" s="22" t="str">
        <x:v>Published coverage; analyst judgment</x:v>
      </x:c>
      <x:c r="H357" s="22" t="str">
        <x:v>M4</x:v>
      </x:c>
      <x:c r="I357" s="50" t="str">
        <x:f>INDEX('Sources'!$D$6:$D$66,MATCH("M4",'Sources'!$A$6:$A$66,0))</x:f>
        <x:v>https://docs.deepwisdom.ai/main/en/guide/in_depth_guides/breakpoint_recovery.html</x:v>
      </x:c>
    </x:row>
    <x:row r="358" ht="46.5" customHeight="1">
      <x:c r="A358" s="22" t="str">
        <x:v>F23</x:v>
      </x:c>
      <x:c r="B358" s="22" t="str">
        <x:v>METAGPT</x:v>
      </x:c>
      <x:c r="C358" s="30" t="str">
        <x:f>INDEX('Matrix'!$C$6:$P$35,MATCH(A358,'Matrix'!$A$6:$A$35,0),MATCH(B358,'Matrix'!$C$4:$P$4,0))</x:f>
        <x:v>U</x:v>
      </x:c>
      <x:c r="D358" s="22" t="str">
        <x:v>Versioned release and adoption</x:v>
      </x:c>
      <x:c r="E358" s="22" t="str">
        <x:v>MetaGPT</x:v>
      </x:c>
      <x:c r="F358" s="22" t="str">
        <x:v>The framework version does not establish product release qualification and changed-basis adoption.</x:v>
      </x:c>
      <x:c r="G358" s="22" t="str">
        <x:v>Published coverage; analyst judgment</x:v>
      </x:c>
      <x:c r="H358" s="22" t="str">
        <x:v>M1, M2</x:v>
      </x:c>
      <x:c r="I358" s="50" t="str">
        <x:f>INDEX('Sources'!$D$6:$D$66,MATCH("M1",'Sources'!$A$6:$A$66,0))&amp;CHAR(10)&amp;INDEX('Sources'!$D$6:$D$66,MATCH("M2",'Sources'!$A$6:$A$66,0))</x:f>
        <x:v>https://arxiv.org/html/2308.00352
https://github.com/FoundationAgents/MetaGPT</x:v>
      </x:c>
    </x:row>
    <x:row r="359" ht="54" customHeight="1">
      <x:c r="A359" s="22" t="str">
        <x:v>F24</x:v>
      </x:c>
      <x:c r="B359" s="22" t="str">
        <x:v>METAGPT</x:v>
      </x:c>
      <x:c r="C359" s="30" t="n">
        <x:f>INDEX('Matrix'!$C$6:$P$35,MATCH(A359,'Matrix'!$A$6:$A$35,0),MATCH(B359,'Matrix'!$C$4:$P$4,0))</x:f>
        <x:v>3</x:v>
      </x:c>
      <x:c r="D359" s="22" t="str">
        <x:v>Reuse and extensibility</x:v>
      </x:c>
      <x:c r="E359" s="22" t="str">
        <x:v>MetaGPT</x:v>
      </x:c>
      <x:c r="F359" s="22" t="str">
        <x:v>Extensible roles/actions and published task-level evaluations.</x:v>
      </x:c>
      <x:c r="G359" s="22" t="str">
        <x:v>Published coverage; analyst judgment</x:v>
      </x:c>
      <x:c r="H359" s="22" t="str">
        <x:v>M1, M2, M3</x:v>
      </x:c>
      <x:c r="I359" s="50" t="str">
        <x:f>INDEX('Sources'!$D$6:$D$66,MATCH("M1",'Sources'!$A$6:$A$66,0))&amp;CHAR(10)&amp;INDEX('Sources'!$D$6:$D$66,MATCH("M2",'Sources'!$A$6:$A$66,0))&amp;CHAR(10)&amp;INDEX('Sources'!$D$6:$D$66,MATCH("M3",'Sources'!$A$6:$A$66,0))</x:f>
        <x:v>https://arxiv.org/html/2308.00352
https://github.com/FoundationAgents/MetaGPT
https://docs.deepwisdom.ai/main/en/guide/tutorials/multi_agent_101.html</x:v>
      </x:c>
    </x:row>
    <x:row r="360" ht="54" customHeight="1">
      <x:c r="A360" s="22" t="str">
        <x:v>F25</x:v>
      </x:c>
      <x:c r="B360" s="22" t="str">
        <x:v>METAGPT</x:v>
      </x:c>
      <x:c r="C360" s="30" t="n">
        <x:f>INDEX('Matrix'!$C$6:$P$35,MATCH(A360,'Matrix'!$A$6:$A$35,0),MATCH(B360,'Matrix'!$C$4:$P$4,0))</x:f>
        <x:v>2</x:v>
      </x:c>
      <x:c r="D360" s="22" t="str">
        <x:v>Process use beyond software</x:v>
      </x:c>
      <x:c r="E360" s="22" t="str">
        <x:v>MetaGPT</x:v>
      </x:c>
      <x:c r="F360" s="22" t="str">
        <x:v>Extensible roles/actions and published task-level evaluations.</x:v>
      </x:c>
      <x:c r="G360" s="22" t="str">
        <x:v>Published coverage; analyst judgment</x:v>
      </x:c>
      <x:c r="H360" s="22" t="str">
        <x:v>M1, M2, M3</x:v>
      </x:c>
      <x:c r="I360" s="50" t="str">
        <x:f>INDEX('Sources'!$D$6:$D$66,MATCH("M1",'Sources'!$A$6:$A$66,0))&amp;CHAR(10)&amp;INDEX('Sources'!$D$6:$D$66,MATCH("M2",'Sources'!$A$6:$A$66,0))&amp;CHAR(10)&amp;INDEX('Sources'!$D$6:$D$66,MATCH("M3",'Sources'!$A$6:$A$66,0))</x:f>
        <x:v>https://arxiv.org/html/2308.00352
https://github.com/FoundationAgents/MetaGPT
https://docs.deepwisdom.ai/main/en/guide/tutorials/multi_agent_101.html</x:v>
      </x:c>
    </x:row>
    <x:row r="361" ht="54" customHeight="1">
      <x:c r="A361" s="22" t="str">
        <x:v>F26</x:v>
      </x:c>
      <x:c r="B361" s="22" t="str">
        <x:v>METAGPT</x:v>
      </x:c>
      <x:c r="C361" s="30" t="str">
        <x:f>INDEX('Matrix'!$C$6:$P$35,MATCH(A361,'Matrix'!$A$6:$A$35,0),MATCH(B361,'Matrix'!$C$4:$P$4,0))</x:f>
        <x:v>U</x:v>
      </x:c>
      <x:c r="D361" s="22" t="str">
        <x:v>Self-application</x:v>
      </x:c>
      <x:c r="E361" s="22" t="str">
        <x:v>MetaGPT</x:v>
      </x:c>
      <x:c r="F361" s="22" t="str">
        <x:v>Self-improvement discussed; qualified methodology self-development not demonstrated.</x:v>
      </x:c>
      <x:c r="G361" s="22" t="str">
        <x:v>Published coverage; analyst judgment</x:v>
      </x:c>
      <x:c r="H361" s="22" t="str">
        <x:v>M1, M2, M3</x:v>
      </x:c>
      <x:c r="I361" s="50" t="str">
        <x:f>INDEX('Sources'!$D$6:$D$66,MATCH("M1",'Sources'!$A$6:$A$66,0))&amp;CHAR(10)&amp;INDEX('Sources'!$D$6:$D$66,MATCH("M2",'Sources'!$A$6:$A$66,0))&amp;CHAR(10)&amp;INDEX('Sources'!$D$6:$D$66,MATCH("M3",'Sources'!$A$6:$A$66,0))</x:f>
        <x:v>https://arxiv.org/html/2308.00352
https://github.com/FoundationAgents/MetaGPT
https://docs.deepwisdom.ai/main/en/guide/tutorials/multi_agent_101.html</x:v>
      </x:c>
    </x:row>
    <x:row r="362" ht="46.5" customHeight="1">
      <x:c r="A362" s="22" t="str">
        <x:v>F27</x:v>
      </x:c>
      <x:c r="B362" s="22" t="str">
        <x:v>METAGPT</x:v>
      </x:c>
      <x:c r="C362" s="30" t="n">
        <x:f>INDEX('Matrix'!$C$6:$P$35,MATCH(A362,'Matrix'!$A$6:$A$35,0),MATCH(B362,'Matrix'!$C$4:$P$4,0))</x:f>
        <x:v>1</x:v>
      </x:c>
      <x:c r="D362" s="22" t="str">
        <x:v>AI-native method representation</x:v>
      </x:c>
      <x:c r="E362" s="22" t="str">
        <x:v>MetaGPT</x:v>
      </x:c>
      <x:c r="F362" s="22" t="str">
        <x:v>Prompt-encoded SOPs are agent-readable; stable method-source routes and targeted method-context acquisition are not established.</x:v>
      </x:c>
      <x:c r="G362" s="22" t="str">
        <x:v>Published coverage; analyst judgment</x:v>
      </x:c>
      <x:c r="H362" s="22" t="str">
        <x:v>M1, M3</x:v>
      </x:c>
      <x:c r="I362" s="50" t="str">
        <x:f>INDEX('Sources'!$D$6:$D$66,MATCH("M1",'Sources'!$A$6:$A$66,0))&amp;CHAR(10)&amp;INDEX('Sources'!$D$6:$D$66,MATCH("M3",'Sources'!$A$6:$A$66,0))</x:f>
        <x:v>https://arxiv.org/html/2308.00352
https://docs.deepwisdom.ai/main/en/guide/tutorials/multi_agent_101.html</x:v>
      </x:c>
    </x:row>
    <x:row r="363" ht="54" customHeight="1">
      <x:c r="A363" s="22" t="str">
        <x:v>F28</x:v>
      </x:c>
      <x:c r="B363" s="22" t="str">
        <x:v>METAGPT</x:v>
      </x:c>
      <x:c r="C363" s="30" t="n">
        <x:f>INDEX('Matrix'!$C$6:$P$35,MATCH(A363,'Matrix'!$A$6:$A$35,0),MATCH(B363,'Matrix'!$C$4:$P$4,0))</x:f>
        <x:v>2</x:v>
      </x:c>
      <x:c r="D363" s="22" t="str">
        <x:v>Onboarding and reader guidance</x:v>
      </x:c>
      <x:c r="E363" s="22" t="str">
        <x:v>MetaGPT</x:v>
      </x:c>
      <x:c r="F363" s="22" t="str">
        <x:v>Extensible roles/actions and published task-level evaluations.</x:v>
      </x:c>
      <x:c r="G363" s="22" t="str">
        <x:v>Published coverage; analyst judgment</x:v>
      </x:c>
      <x:c r="H363" s="22" t="str">
        <x:v>M1, M2, M3</x:v>
      </x:c>
      <x:c r="I363" s="50" t="str">
        <x:f>INDEX('Sources'!$D$6:$D$66,MATCH("M1",'Sources'!$A$6:$A$66,0))&amp;CHAR(10)&amp;INDEX('Sources'!$D$6:$D$66,MATCH("M2",'Sources'!$A$6:$A$66,0))&amp;CHAR(10)&amp;INDEX('Sources'!$D$6:$D$66,MATCH("M3",'Sources'!$A$6:$A$66,0))</x:f>
        <x:v>https://arxiv.org/html/2308.00352
https://github.com/FoundationAgents/MetaGPT
https://docs.deepwisdom.ai/main/en/guide/tutorials/multi_agent_101.html</x:v>
      </x:c>
    </x:row>
    <x:row r="364" ht="46.5" customHeight="1">
      <x:c r="A364" s="22" t="str">
        <x:v>F29</x:v>
      </x:c>
      <x:c r="B364" s="22" t="str">
        <x:v>METAGPT</x:v>
      </x:c>
      <x:c r="C364" s="30" t="n">
        <x:f>INDEX('Matrix'!$C$6:$P$35,MATCH(A364,'Matrix'!$A$6:$A$35,0),MATCH(B364,'Matrix'!$C$4:$P$4,0))</x:f>
        <x:v>2</x:v>
      </x:c>
      <x:c r="D364" s="22" t="str">
        <x:v>Evidence of effectiveness</x:v>
      </x:c>
      <x:c r="E364" s="22" t="str">
        <x:v>MetaGPT</x:v>
      </x:c>
      <x:c r="F364" s="22" t="str">
        <x:v>HumanEval/MBPP results are reported; the main comparative SoftwareDev sample is seven tasks, with supplementary averages across 70 tasks without executable feedback.</x:v>
      </x:c>
      <x:c r="G364" s="22" t="str">
        <x:v>Published coverage; analyst judgment</x:v>
      </x:c>
      <x:c r="H364" s="22" t="str">
        <x:v>M1</x:v>
      </x:c>
      <x:c r="I364" s="50" t="str">
        <x:f>INDEX('Sources'!$D$6:$D$66,MATCH("M1",'Sources'!$A$6:$A$66,0))</x:f>
        <x:v>https://arxiv.org/html/2308.00352</x:v>
      </x:c>
    </x:row>
    <x:row r="365" ht="46.5" customHeight="1">
      <x:c r="A365" s="22" t="str">
        <x:v>F30</x:v>
      </x:c>
      <x:c r="B365" s="22" t="str">
        <x:v>METAGPT</x:v>
      </x:c>
      <x:c r="C365" s="30" t="n">
        <x:f>INDEX('Matrix'!$C$6:$P$35,MATCH(A365,'Matrix'!$A$6:$A$35,0),MATCH(B365,'Matrix'!$C$4:$P$4,0))</x:f>
        <x:v>3</x:v>
      </x:c>
      <x:c r="D365" s="22" t="str">
        <x:v>Work and resource measurement</x:v>
      </x:c>
      <x:c r="E365" s="22" t="str">
        <x:v>MetaGPT</x:v>
      </x:c>
      <x:c r="F365" s="22" t="str">
        <x:v>Dollar investment/run-round settings and evaluated token, time and cost observations are explicit.</x:v>
      </x:c>
      <x:c r="G365" s="22" t="str">
        <x:v>Published coverage; analyst judgment</x:v>
      </x:c>
      <x:c r="H365" s="22" t="str">
        <x:v>M1, M3</x:v>
      </x:c>
      <x:c r="I365" s="50" t="str">
        <x:f>INDEX('Sources'!$D$6:$D$66,MATCH("M1",'Sources'!$A$6:$A$66,0))&amp;CHAR(10)&amp;INDEX('Sources'!$D$6:$D$66,MATCH("M3",'Sources'!$A$6:$A$66,0))</x:f>
        <x:v>https://arxiv.org/html/2308.00352
https://docs.deepwisdom.ai/main/en/guide/tutorials/multi_agent_101.html</x:v>
      </x:c>
    </x:row>
    <x:row r="366" ht="46.5" customHeight="1">
      <x:c r="A366" s="22" t="str">
        <x:v>F01</x:v>
      </x:c>
      <x:c r="B366" s="22" t="str">
        <x:v>DEVALL</x:v>
      </x:c>
      <x:c r="C366" s="30" t="n">
        <x:f>INDEX('Matrix'!$C$6:$P$35,MATCH(A366,'Matrix'!$A$6:$A$35,0),MATCH(B366,'Matrix'!$C$4:$P$4,0))</x:f>
        <x:v>2</x:v>
      </x:c>
      <x:c r="D366" s="22" t="str">
        <x:v>Intent and success criteria</x:v>
      </x:c>
      <x:c r="E366" s="22" t="str">
        <x:v>ChatDev 2.0 / DevAll</x:v>
      </x:c>
      <x:c r="F366" s="22" t="str">
        <x:v>Lifecycle artifacts depend on the selected workflow, not a universal Product hierarchy.</x:v>
      </x:c>
      <x:c r="G366" s="22" t="str">
        <x:v>Published coverage; analyst judgment</x:v>
      </x:c>
      <x:c r="H366" s="22" t="str">
        <x:v>D1, D3</x:v>
      </x:c>
      <x:c r="I366" s="50" t="str">
        <x:f>INDEX('Sources'!$D$6:$D$66,MATCH("D1",'Sources'!$A$6:$A$66,0))&amp;CHAR(10)&amp;INDEX('Sources'!$D$6:$D$66,MATCH("D3",'Sources'!$A$6:$A$66,0))</x:f>
        <x:v>https://arxiv.org/html/2609.00714
https://github.com/OpenBMB/ChatDev/blob/main/docs/user_guide/en/workflow_authoring.md</x:v>
      </x:c>
    </x:row>
    <x:row r="367" ht="46.5" customHeight="1">
      <x:c r="A367" s="22" t="str">
        <x:v>F02</x:v>
      </x:c>
      <x:c r="B367" s="22" t="str">
        <x:v>DEVALL</x:v>
      </x:c>
      <x:c r="C367" s="30" t="n">
        <x:f>INDEX('Matrix'!$C$6:$P$35,MATCH(A367,'Matrix'!$A$6:$A$35,0),MATCH(B367,'Matrix'!$C$4:$P$4,0))</x:f>
        <x:v>1</x:v>
      </x:c>
      <x:c r="D367" s="22" t="str">
        <x:v>Product definition and scope</x:v>
      </x:c>
      <x:c r="E367" s="22" t="str">
        <x:v>ChatDev 2.0 / DevAll</x:v>
      </x:c>
      <x:c r="F367" s="22" t="str">
        <x:v>Lifecycle artifacts depend on the selected workflow, not a universal Product hierarchy.</x:v>
      </x:c>
      <x:c r="G367" s="22" t="str">
        <x:v>Published coverage; analyst judgment</x:v>
      </x:c>
      <x:c r="H367" s="22" t="str">
        <x:v>D1, D3</x:v>
      </x:c>
      <x:c r="I367" s="50" t="str">
        <x:f>INDEX('Sources'!$D$6:$D$66,MATCH("D1",'Sources'!$A$6:$A$66,0))&amp;CHAR(10)&amp;INDEX('Sources'!$D$6:$D$66,MATCH("D3",'Sources'!$A$6:$A$66,0))</x:f>
        <x:v>https://arxiv.org/html/2609.00714
https://github.com/OpenBMB/ChatDev/blob/main/docs/user_guide/en/workflow_authoring.md</x:v>
      </x:c>
    </x:row>
    <x:row r="368" ht="46.5" customHeight="1">
      <x:c r="A368" s="22" t="str">
        <x:v>F03</x:v>
      </x:c>
      <x:c r="B368" s="22" t="str">
        <x:v>DEVALL</x:v>
      </x:c>
      <x:c r="C368" s="30" t="n">
        <x:f>INDEX('Matrix'!$C$6:$P$35,MATCH(A368,'Matrix'!$A$6:$A$35,0),MATCH(B368,'Matrix'!$C$4:$P$4,0))</x:f>
        <x:v>2</x:v>
      </x:c>
      <x:c r="D368" s="22" t="str">
        <x:v>Requirements before construction</x:v>
      </x:c>
      <x:c r="E368" s="22" t="str">
        <x:v>ChatDev 2.0 / DevAll</x:v>
      </x:c>
      <x:c r="F368" s="22" t="str">
        <x:v>Lifecycle artifacts depend on the selected workflow, not a universal Product hierarchy.</x:v>
      </x:c>
      <x:c r="G368" s="22" t="str">
        <x:v>Published coverage; analyst judgment</x:v>
      </x:c>
      <x:c r="H368" s="22" t="str">
        <x:v>D1, D3</x:v>
      </x:c>
      <x:c r="I368" s="50" t="str">
        <x:f>INDEX('Sources'!$D$6:$D$66,MATCH("D1",'Sources'!$A$6:$A$66,0))&amp;CHAR(10)&amp;INDEX('Sources'!$D$6:$D$66,MATCH("D3",'Sources'!$A$6:$A$66,0))</x:f>
        <x:v>https://arxiv.org/html/2609.00714
https://github.com/OpenBMB/ChatDev/blob/main/docs/user_guide/en/workflow_authoring.md</x:v>
      </x:c>
    </x:row>
    <x:row r="369" ht="46.5" customHeight="1">
      <x:c r="A369" s="22" t="str">
        <x:v>F04</x:v>
      </x:c>
      <x:c r="B369" s="22" t="str">
        <x:v>DEVALL</x:v>
      </x:c>
      <x:c r="C369" s="30" t="n">
        <x:f>INDEX('Matrix'!$C$6:$P$35,MATCH(A369,'Matrix'!$A$6:$A$35,0),MATCH(B369,'Matrix'!$C$4:$P$4,0))</x:f>
        <x:v>2</x:v>
      </x:c>
      <x:c r="D369" s="22" t="str">
        <x:v>Design separated from requirements</x:v>
      </x:c>
      <x:c r="E369" s="22" t="str">
        <x:v>ChatDev 2.0 / DevAll</x:v>
      </x:c>
      <x:c r="F369" s="22" t="str">
        <x:v>Lifecycle artifacts depend on the selected workflow, not a universal Product hierarchy.</x:v>
      </x:c>
      <x:c r="G369" s="22" t="str">
        <x:v>Published coverage; analyst judgment</x:v>
      </x:c>
      <x:c r="H369" s="22" t="str">
        <x:v>D1, D3</x:v>
      </x:c>
      <x:c r="I369" s="50" t="str">
        <x:f>INDEX('Sources'!$D$6:$D$66,MATCH("D1",'Sources'!$A$6:$A$66,0))&amp;CHAR(10)&amp;INDEX('Sources'!$D$6:$D$66,MATCH("D3",'Sources'!$A$6:$A$66,0))</x:f>
        <x:v>https://arxiv.org/html/2609.00714
https://github.com/OpenBMB/ChatDev/blob/main/docs/user_guide/en/workflow_authoring.md</x:v>
      </x:c>
    </x:row>
    <x:row r="370" ht="46.5" customHeight="1">
      <x:c r="A370" s="22" t="str">
        <x:v>F05</x:v>
      </x:c>
      <x:c r="B370" s="22" t="str">
        <x:v>DEVALL</x:v>
      </x:c>
      <x:c r="C370" s="30" t="n">
        <x:f>INDEX('Matrix'!$C$6:$P$35,MATCH(A370,'Matrix'!$A$6:$A$35,0),MATCH(B370,'Matrix'!$C$4:$P$4,0))</x:f>
        <x:v>2</x:v>
      </x:c>
      <x:c r="D370" s="22" t="str">
        <x:v>Traceability across stages</x:v>
      </x:c>
      <x:c r="E370" s="22" t="str">
        <x:v>ChatDev 2.0 / DevAll</x:v>
      </x:c>
      <x:c r="F370" s="22" t="str">
        <x:v>Lifecycle artifacts depend on the selected workflow, not a universal Product hierarchy.</x:v>
      </x:c>
      <x:c r="G370" s="22" t="str">
        <x:v>Published coverage; analyst judgment</x:v>
      </x:c>
      <x:c r="H370" s="22" t="str">
        <x:v>D1, D3</x:v>
      </x:c>
      <x:c r="I370" s="50" t="str">
        <x:f>INDEX('Sources'!$D$6:$D$66,MATCH("D1",'Sources'!$A$6:$A$66,0))&amp;CHAR(10)&amp;INDEX('Sources'!$D$6:$D$66,MATCH("D3",'Sources'!$A$6:$A$66,0))</x:f>
        <x:v>https://arxiv.org/html/2609.00714
https://github.com/OpenBMB/ChatDev/blob/main/docs/user_guide/en/workflow_authoring.md</x:v>
      </x:c>
    </x:row>
    <x:row r="371" ht="46.5" customHeight="1">
      <x:c r="A371" s="22" t="str">
        <x:v>F06</x:v>
      </x:c>
      <x:c r="B371" s="22" t="str">
        <x:v>DEVALL</x:v>
      </x:c>
      <x:c r="C371" s="30" t="n">
        <x:f>INDEX('Matrix'!$C$6:$P$35,MATCH(A371,'Matrix'!$A$6:$A$35,0),MATCH(B371,'Matrix'!$C$4:$P$4,0))</x:f>
        <x:v>2</x:v>
      </x:c>
      <x:c r="D371" s="22" t="str">
        <x:v>Domain concepts and identity</x:v>
      </x:c>
      <x:c r="E371" s="22" t="str">
        <x:v>ChatDev 2.0 / DevAll</x:v>
      </x:c>
      <x:c r="F371" s="22" t="str">
        <x:v>Configuration schemas, node types and nested subgraphs define execution contracts.</x:v>
      </x:c>
      <x:c r="G371" s="22" t="str">
        <x:v>Published coverage; analyst judgment</x:v>
      </x:c>
      <x:c r="H371" s="22" t="str">
        <x:v>D1, D3</x:v>
      </x:c>
      <x:c r="I371" s="50" t="str">
        <x:f>INDEX('Sources'!$D$6:$D$66,MATCH("D1",'Sources'!$A$6:$A$66,0))&amp;CHAR(10)&amp;INDEX('Sources'!$D$6:$D$66,MATCH("D3",'Sources'!$A$6:$A$66,0))</x:f>
        <x:v>https://arxiv.org/html/2609.00714
https://github.com/OpenBMB/ChatDev/blob/main/docs/user_guide/en/workflow_authoring.md</x:v>
      </x:c>
    </x:row>
    <x:row r="372" ht="46.5" customHeight="1">
      <x:c r="A372" s="22" t="str">
        <x:v>F07</x:v>
      </x:c>
      <x:c r="B372" s="22" t="str">
        <x:v>DEVALL</x:v>
      </x:c>
      <x:c r="C372" s="30" t="n">
        <x:f>INDEX('Matrix'!$C$6:$P$35,MATCH(A372,'Matrix'!$A$6:$A$35,0),MATCH(B372,'Matrix'!$C$4:$P$4,0))</x:f>
        <x:v>3</x:v>
      </x:c>
      <x:c r="D372" s="22" t="str">
        <x:v>Explicit inputs, outputs and contracts</x:v>
      </x:c>
      <x:c r="E372" s="22" t="str">
        <x:v>ChatDev 2.0 / DevAll</x:v>
      </x:c>
      <x:c r="F372" s="22" t="str">
        <x:v>Configuration schemas, node types and nested subgraphs define execution contracts.</x:v>
      </x:c>
      <x:c r="G372" s="22" t="str">
        <x:v>Published coverage; analyst judgment</x:v>
      </x:c>
      <x:c r="H372" s="22" t="str">
        <x:v>D1, D3</x:v>
      </x:c>
      <x:c r="I372" s="50" t="str">
        <x:f>INDEX('Sources'!$D$6:$D$66,MATCH("D1",'Sources'!$A$6:$A$66,0))&amp;CHAR(10)&amp;INDEX('Sources'!$D$6:$D$66,MATCH("D3",'Sources'!$A$6:$A$66,0))</x:f>
        <x:v>https://arxiv.org/html/2609.00714
https://github.com/OpenBMB/ChatDev/blob/main/docs/user_guide/en/workflow_authoring.md</x:v>
      </x:c>
    </x:row>
    <x:row r="373" ht="46.5" customHeight="1">
      <x:c r="A373" s="22" t="str">
        <x:v>F08</x:v>
      </x:c>
      <x:c r="B373" s="22" t="str">
        <x:v>DEVALL</x:v>
      </x:c>
      <x:c r="C373" s="30" t="n">
        <x:f>INDEX('Matrix'!$C$6:$P$35,MATCH(A373,'Matrix'!$A$6:$A$35,0),MATCH(B373,'Matrix'!$C$4:$P$4,0))</x:f>
        <x:v>2</x:v>
      </x:c>
      <x:c r="D373" s="22" t="str">
        <x:v>Invariants and semantic constraints</x:v>
      </x:c>
      <x:c r="E373" s="22" t="str">
        <x:v>ChatDev 2.0 / DevAll</x:v>
      </x:c>
      <x:c r="F373" s="22" t="str">
        <x:v>Configuration schemas, node types and nested subgraphs define execution contracts.</x:v>
      </x:c>
      <x:c r="G373" s="22" t="str">
        <x:v>Published coverage; analyst judgment</x:v>
      </x:c>
      <x:c r="H373" s="22" t="str">
        <x:v>D1, D3</x:v>
      </x:c>
      <x:c r="I373" s="50" t="str">
        <x:f>INDEX('Sources'!$D$6:$D$66,MATCH("D1",'Sources'!$A$6:$A$66,0))&amp;CHAR(10)&amp;INDEX('Sources'!$D$6:$D$66,MATCH("D3",'Sources'!$A$6:$A$66,0))</x:f>
        <x:v>https://arxiv.org/html/2609.00714
https://github.com/OpenBMB/ChatDev/blob/main/docs/user_guide/en/workflow_authoring.md</x:v>
      </x:c>
    </x:row>
    <x:row r="374" ht="46.5" customHeight="1">
      <x:c r="A374" s="22" t="str">
        <x:v>F09</x:v>
      </x:c>
      <x:c r="B374" s="22" t="str">
        <x:v>DEVALL</x:v>
      </x:c>
      <x:c r="C374" s="30" t="n">
        <x:f>INDEX('Matrix'!$C$6:$P$35,MATCH(A374,'Matrix'!$A$6:$A$35,0),MATCH(B374,'Matrix'!$C$4:$P$4,0))</x:f>
        <x:v>2</x:v>
      </x:c>
      <x:c r="D374" s="22" t="str">
        <x:v>Composition and formal reasoning</x:v>
      </x:c>
      <x:c r="E374" s="22" t="str">
        <x:v>ChatDev 2.0 / DevAll</x:v>
      </x:c>
      <x:c r="F374" s="22" t="str">
        <x:v>Configuration schemas, node types and nested subgraphs define execution contracts.</x:v>
      </x:c>
      <x:c r="G374" s="22" t="str">
        <x:v>Published coverage; analyst judgment</x:v>
      </x:c>
      <x:c r="H374" s="22" t="str">
        <x:v>D1, D3</x:v>
      </x:c>
      <x:c r="I374" s="50" t="str">
        <x:f>INDEX('Sources'!$D$6:$D$66,MATCH("D1",'Sources'!$A$6:$A$66,0))&amp;CHAR(10)&amp;INDEX('Sources'!$D$6:$D$66,MATCH("D3",'Sources'!$A$6:$A$66,0))</x:f>
        <x:v>https://arxiv.org/html/2609.00714
https://github.com/OpenBMB/ChatDev/blob/main/docs/user_guide/en/workflow_authoring.md</x:v>
      </x:c>
    </x:row>
    <x:row r="375" ht="54" customHeight="1">
      <x:c r="A375" s="22" t="str">
        <x:v>F10</x:v>
      </x:c>
      <x:c r="B375" s="22" t="str">
        <x:v>DEVALL</x:v>
      </x:c>
      <x:c r="C375" s="30" t="n">
        <x:f>INDEX('Matrix'!$C$6:$P$35,MATCH(A375,'Matrix'!$A$6:$A$35,0),MATCH(B375,'Matrix'!$C$4:$P$4,0))</x:f>
        <x:v>3</x:v>
      </x:c>
      <x:c r="D375" s="22" t="str">
        <x:v>Relevant context selection</x:v>
      </x:c>
      <x:c r="E375" s="22" t="str">
        <x:v>ChatDev 2.0 / DevAll</x:v>
      </x:c>
      <x:c r="F375" s="22" t="str">
        <x:v>Context edges differ from activation edges; retrieval policy and loop guards are explicit.</x:v>
      </x:c>
      <x:c r="G375" s="22" t="str">
        <x:v>Published coverage; analyst judgment</x:v>
      </x:c>
      <x:c r="H375" s="22" t="str">
        <x:v>D1, D3, D4</x:v>
      </x:c>
      <x:c r="I375" s="50" t="str">
        <x:f>INDEX('Sources'!$D$6:$D$66,MATCH("D1",'Sources'!$A$6:$A$66,0))&amp;CHAR(10)&amp;INDEX('Sources'!$D$6:$D$66,MATCH("D3",'Sources'!$A$6:$A$66,0))&amp;CHAR(10)&amp;INDEX('Sources'!$D$6:$D$66,MATCH("D4",'Sources'!$A$6:$A$66,0))</x:f>
        <x:v>https://arxiv.org/html/2609.00714
https://github.com/OpenBMB/ChatDev/blob/main/docs/user_guide/en/workflow_authoring.md
https://github.com/OpenBMB/ChatDev/blob/main/docs/user_guide/en/modules/memory.md</x:v>
      </x:c>
    </x:row>
    <x:row r="376" ht="46.5" customHeight="1">
      <x:c r="A376" s="22" t="str">
        <x:v>F11</x:v>
      </x:c>
      <x:c r="B376" s="22" t="str">
        <x:v>DEVALL</x:v>
      </x:c>
      <x:c r="C376" s="30" t="n">
        <x:f>INDEX('Matrix'!$C$6:$P$35,MATCH(A376,'Matrix'!$A$6:$A$35,0),MATCH(B376,'Matrix'!$C$4:$P$4,0))</x:f>
        <x:v>2</x:v>
      </x:c>
      <x:c r="D376" s="22" t="str">
        <x:v>Attention fit and proportionality</x:v>
      </x:c>
      <x:c r="E376" s="22" t="str">
        <x:v>ChatDev 2.0 / DevAll</x:v>
      </x:c>
      <x:c r="F376" s="22" t="str">
        <x:v>Retrieval filtering and loop limits are explicit; actor-capacity fit and process-benefit justification are not established.</x:v>
      </x:c>
      <x:c r="G376" s="22" t="str">
        <x:v>Published coverage; analyst judgment</x:v>
      </x:c>
      <x:c r="H376" s="22" t="str">
        <x:v>D3, D4</x:v>
      </x:c>
      <x:c r="I376" s="50" t="str">
        <x:f>INDEX('Sources'!$D$6:$D$66,MATCH("D3",'Sources'!$A$6:$A$66,0))&amp;CHAR(10)&amp;INDEX('Sources'!$D$6:$D$66,MATCH("D4",'Sources'!$A$6:$A$66,0))</x:f>
        <x:v>https://github.com/OpenBMB/ChatDev/blob/main/docs/user_guide/en/workflow_authoring.md
https://github.com/OpenBMB/ChatDev/blob/main/docs/user_guide/en/modules/memory.md</x:v>
      </x:c>
    </x:row>
    <x:row r="377" ht="54" customHeight="1">
      <x:c r="A377" s="22" t="str">
        <x:v>F12</x:v>
      </x:c>
      <x:c r="B377" s="22" t="str">
        <x:v>DEVALL</x:v>
      </x:c>
      <x:c r="C377" s="30" t="n">
        <x:f>INDEX('Matrix'!$C$6:$P$35,MATCH(A377,'Matrix'!$A$6:$A$35,0),MATCH(B377,'Matrix'!$C$4:$P$4,0))</x:f>
        <x:v>3</x:v>
      </x:c>
      <x:c r="D377" s="22" t="str">
        <x:v>Bounded probabilistic construction</x:v>
      </x:c>
      <x:c r="E377" s="22" t="str">
        <x:v>ChatDev 2.0 / DevAll</x:v>
      </x:c>
      <x:c r="F377" s="22" t="str">
        <x:v>Context edges differ from activation edges; retrieval policy and loop guards are explicit.</x:v>
      </x:c>
      <x:c r="G377" s="22" t="str">
        <x:v>Published coverage; analyst judgment</x:v>
      </x:c>
      <x:c r="H377" s="22" t="str">
        <x:v>D1, D3, D4</x:v>
      </x:c>
      <x:c r="I377" s="50" t="str">
        <x:f>INDEX('Sources'!$D$6:$D$66,MATCH("D1",'Sources'!$A$6:$A$66,0))&amp;CHAR(10)&amp;INDEX('Sources'!$D$6:$D$66,MATCH("D3",'Sources'!$A$6:$A$66,0))&amp;CHAR(10)&amp;INDEX('Sources'!$D$6:$D$66,MATCH("D4",'Sources'!$A$6:$A$66,0))</x:f>
        <x:v>https://arxiv.org/html/2609.00714
https://github.com/OpenBMB/ChatDev/blob/main/docs/user_guide/en/workflow_authoring.md
https://github.com/OpenBMB/ChatDev/blob/main/docs/user_guide/en/modules/memory.md</x:v>
      </x:c>
    </x:row>
    <x:row r="378" ht="54" customHeight="1">
      <x:c r="A378" s="22" t="str">
        <x:v>F13</x:v>
      </x:c>
      <x:c r="B378" s="22" t="str">
        <x:v>DEVALL</x:v>
      </x:c>
      <x:c r="C378" s="30" t="n">
        <x:f>INDEX('Matrix'!$C$6:$P$35,MATCH(A378,'Matrix'!$A$6:$A$35,0),MATCH(B378,'Matrix'!$C$4:$P$4,0))</x:f>
        <x:v>3</x:v>
      </x:c>
      <x:c r="D378" s="22" t="str">
        <x:v>Decomposition and recursive workflows</x:v>
      </x:c>
      <x:c r="E378" s="22" t="str">
        <x:v>ChatDev 2.0 / DevAll</x:v>
      </x:c>
      <x:c r="F378" s="22" t="str">
        <x:v>Context edges differ from activation edges; retrieval policy and loop guards are explicit.</x:v>
      </x:c>
      <x:c r="G378" s="22" t="str">
        <x:v>Published coverage; analyst judgment</x:v>
      </x:c>
      <x:c r="H378" s="22" t="str">
        <x:v>D1, D3, D4</x:v>
      </x:c>
      <x:c r="I378" s="50" t="str">
        <x:f>INDEX('Sources'!$D$6:$D$66,MATCH("D1",'Sources'!$A$6:$A$66,0))&amp;CHAR(10)&amp;INDEX('Sources'!$D$6:$D$66,MATCH("D3",'Sources'!$A$6:$A$66,0))&amp;CHAR(10)&amp;INDEX('Sources'!$D$6:$D$66,MATCH("D4",'Sources'!$A$6:$A$66,0))</x:f>
        <x:v>https://arxiv.org/html/2609.00714
https://github.com/OpenBMB/ChatDev/blob/main/docs/user_guide/en/workflow_authoring.md
https://github.com/OpenBMB/ChatDev/blob/main/docs/user_guide/en/modules/memory.md</x:v>
      </x:c>
    </x:row>
    <x:row r="379" ht="46.5" customHeight="1">
      <x:c r="A379" s="22" t="str">
        <x:v>F14</x:v>
      </x:c>
      <x:c r="B379" s="22" t="str">
        <x:v>DEVALL</x:v>
      </x:c>
      <x:c r="C379" s="30" t="n">
        <x:f>INDEX('Matrix'!$C$6:$P$35,MATCH(A379,'Matrix'!$A$6:$A$35,0),MATCH(B379,'Matrix'!$C$4:$P$4,0))</x:f>
        <x:v>2</x:v>
      </x:c>
      <x:c r="D379" s="22" t="str">
        <x:v>Durable state and resumption</x:v>
      </x:c>
      <x:c r="E379" s="22" t="str">
        <x:v>ChatDev 2.0 / DevAll</x:v>
      </x:c>
      <x:c r="F379" s="22" t="str">
        <x:v>Optional persisted memories and inspectable traces are explicit; restart recovery of the execution frontier is not established.</x:v>
      </x:c>
      <x:c r="G379" s="22" t="str">
        <x:v>Published coverage; analyst judgment</x:v>
      </x:c>
      <x:c r="H379" s="22" t="str">
        <x:v>D1, D4</x:v>
      </x:c>
      <x:c r="I379" s="50" t="str">
        <x:f>INDEX('Sources'!$D$6:$D$66,MATCH("D1",'Sources'!$A$6:$A$66,0))&amp;CHAR(10)&amp;INDEX('Sources'!$D$6:$D$66,MATCH("D4",'Sources'!$A$6:$A$66,0))</x:f>
        <x:v>https://arxiv.org/html/2609.00714
https://github.com/OpenBMB/ChatDev/blob/main/docs/user_guide/en/modules/memory.md</x:v>
      </x:c>
    </x:row>
    <x:row r="380" ht="54" customHeight="1">
      <x:c r="A380" s="22" t="str">
        <x:v>F15</x:v>
      </x:c>
      <x:c r="B380" s="22" t="str">
        <x:v>DEVALL</x:v>
      </x:c>
      <x:c r="C380" s="30" t="n">
        <x:f>INDEX('Matrix'!$C$6:$P$35,MATCH(A380,'Matrix'!$A$6:$A$35,0),MATCH(B380,'Matrix'!$C$4:$P$4,0))</x:f>
        <x:v>3</x:v>
      </x:c>
      <x:c r="D380" s="22" t="str">
        <x:v>Observation and next-action feedback</x:v>
      </x:c>
      <x:c r="E380" s="22" t="str">
        <x:v>ChatDev 2.0 / DevAll</x:v>
      </x:c>
      <x:c r="F380" s="22" t="str">
        <x:v>Context edges differ from activation edges; retrieval policy and loop guards are explicit.</x:v>
      </x:c>
      <x:c r="G380" s="22" t="str">
        <x:v>Published coverage; analyst judgment</x:v>
      </x:c>
      <x:c r="H380" s="22" t="str">
        <x:v>D1, D3, D4</x:v>
      </x:c>
      <x:c r="I380" s="50" t="str">
        <x:f>INDEX('Sources'!$D$6:$D$66,MATCH("D1",'Sources'!$A$6:$A$66,0))&amp;CHAR(10)&amp;INDEX('Sources'!$D$6:$D$66,MATCH("D3",'Sources'!$A$6:$A$66,0))&amp;CHAR(10)&amp;INDEX('Sources'!$D$6:$D$66,MATCH("D4",'Sources'!$A$6:$A$66,0))</x:f>
        <x:v>https://arxiv.org/html/2609.00714
https://github.com/OpenBMB/ChatDev/blob/main/docs/user_guide/en/workflow_authoring.md
https://github.com/OpenBMB/ChatDev/blob/main/docs/user_guide/en/modules/memory.md</x:v>
      </x:c>
    </x:row>
    <x:row r="381" ht="46.5" customHeight="1">
      <x:c r="A381" s="22" t="str">
        <x:v>F16</x:v>
      </x:c>
      <x:c r="B381" s="22" t="str">
        <x:v>DEVALL</x:v>
      </x:c>
      <x:c r="C381" s="30" t="n">
        <x:f>INDEX('Matrix'!$C$6:$P$35,MATCH(A381,'Matrix'!$A$6:$A$35,0),MATCH(B381,'Matrix'!$C$4:$P$4,0))</x:f>
        <x:v>2</x:v>
      </x:c>
      <x:c r="D381" s="22" t="str">
        <x:v>Uncertainty, stops and re-entry</x:v>
      </x:c>
      <x:c r="E381" s="22" t="str">
        <x:v>ChatDev 2.0 / DevAll</x:v>
      </x:c>
      <x:c r="F381" s="22" t="str">
        <x:v>Human checkpoints and bounded cycles support scoped stopping; comprehensive uncertainty and upstream-revision treatment is not established.</x:v>
      </x:c>
      <x:c r="G381" s="22" t="str">
        <x:v>Published coverage; analyst judgment</x:v>
      </x:c>
      <x:c r="H381" s="22" t="str">
        <x:v>D1, D3</x:v>
      </x:c>
      <x:c r="I381" s="50" t="str">
        <x:f>INDEX('Sources'!$D$6:$D$66,MATCH("D1",'Sources'!$A$6:$A$66,0))&amp;CHAR(10)&amp;INDEX('Sources'!$D$6:$D$66,MATCH("D3",'Sources'!$A$6:$A$66,0))</x:f>
        <x:v>https://arxiv.org/html/2609.00714
https://github.com/OpenBMB/ChatDev/blob/main/docs/user_guide/en/workflow_authoring.md</x:v>
      </x:c>
    </x:row>
    <x:row r="382" ht="46.5" customHeight="1">
      <x:c r="A382" s="22" t="str">
        <x:v>F17</x:v>
      </x:c>
      <x:c r="B382" s="22" t="str">
        <x:v>DEVALL</x:v>
      </x:c>
      <x:c r="C382" s="30" t="n">
        <x:f>INDEX('Matrix'!$C$6:$P$35,MATCH(A382,'Matrix'!$A$6:$A$35,0),MATCH(B382,'Matrix'!$C$4:$P$4,0))</x:f>
        <x:v>2</x:v>
      </x:c>
      <x:c r="D382" s="22" t="str">
        <x:v>Permissions and effect boundaries</x:v>
      </x:c>
      <x:c r="E382" s="22" t="str">
        <x:v>ChatDev 2.0 / DevAll</x:v>
      </x:c>
      <x:c r="F382" s="22" t="str">
        <x:v>Human checkpoints and configurable evaluation; independence is workflow-owned.</x:v>
      </x:c>
      <x:c r="G382" s="22" t="str">
        <x:v>Published coverage; analyst judgment</x:v>
      </x:c>
      <x:c r="H382" s="22" t="str">
        <x:v>D1, D3</x:v>
      </x:c>
      <x:c r="I382" s="50" t="str">
        <x:f>INDEX('Sources'!$D$6:$D$66,MATCH("D1",'Sources'!$A$6:$A$66,0))&amp;CHAR(10)&amp;INDEX('Sources'!$D$6:$D$66,MATCH("D3",'Sources'!$A$6:$A$66,0))</x:f>
        <x:v>https://arxiv.org/html/2609.00714
https://github.com/OpenBMB/ChatDev/blob/main/docs/user_guide/en/workflow_authoring.md</x:v>
      </x:c>
    </x:row>
    <x:row r="383" ht="46.5" customHeight="1">
      <x:c r="A383" s="22" t="str">
        <x:v>F18</x:v>
      </x:c>
      <x:c r="B383" s="22" t="str">
        <x:v>DEVALL</x:v>
      </x:c>
      <x:c r="C383" s="30" t="n">
        <x:f>INDEX('Matrix'!$C$6:$P$35,MATCH(A383,'Matrix'!$A$6:$A$35,0),MATCH(B383,'Matrix'!$C$4:$P$4,0))</x:f>
        <x:v>2</x:v>
      </x:c>
      <x:c r="D383" s="22" t="str">
        <x:v>Independent assessment</x:v>
      </x:c>
      <x:c r="E383" s="22" t="str">
        <x:v>ChatDev 2.0 / DevAll</x:v>
      </x:c>
      <x:c r="F383" s="22" t="str">
        <x:v>Review can be configured; independent acceptance is not a platform invariant.</x:v>
      </x:c>
      <x:c r="G383" s="22" t="str">
        <x:v>Published coverage; analyst judgment</x:v>
      </x:c>
      <x:c r="H383" s="22" t="str">
        <x:v>D1, D3</x:v>
      </x:c>
      <x:c r="I383" s="50" t="str">
        <x:f>INDEX('Sources'!$D$6:$D$66,MATCH("D1",'Sources'!$A$6:$A$66,0))&amp;CHAR(10)&amp;INDEX('Sources'!$D$6:$D$66,MATCH("D3",'Sources'!$A$6:$A$66,0))</x:f>
        <x:v>https://arxiv.org/html/2609.00714
https://github.com/OpenBMB/ChatDev/blob/main/docs/user_guide/en/workflow_authoring.md</x:v>
      </x:c>
    </x:row>
    <x:row r="384" ht="46.5" customHeight="1">
      <x:c r="A384" s="22" t="str">
        <x:v>F19</x:v>
      </x:c>
      <x:c r="B384" s="22" t="str">
        <x:v>DEVALL</x:v>
      </x:c>
      <x:c r="C384" s="30" t="n">
        <x:f>INDEX('Matrix'!$C$6:$P$35,MATCH(A384,'Matrix'!$A$6:$A$35,0),MATCH(B384,'Matrix'!$C$4:$P$4,0))</x:f>
        <x:v>2</x:v>
      </x:c>
      <x:c r="D384" s="22" t="str">
        <x:v>Operational and negative tests</x:v>
      </x:c>
      <x:c r="E384" s="22" t="str">
        <x:v>ChatDev 2.0 / DevAll</x:v>
      </x:c>
      <x:c r="F384" s="22" t="str">
        <x:v>Human checkpoints and configurable evaluation; independence is workflow-owned.</x:v>
      </x:c>
      <x:c r="G384" s="22" t="str">
        <x:v>Published coverage; analyst judgment</x:v>
      </x:c>
      <x:c r="H384" s="22" t="str">
        <x:v>D1, D3</x:v>
      </x:c>
      <x:c r="I384" s="50" t="str">
        <x:f>INDEX('Sources'!$D$6:$D$66,MATCH("D1",'Sources'!$A$6:$A$66,0))&amp;CHAR(10)&amp;INDEX('Sources'!$D$6:$D$66,MATCH("D3",'Sources'!$A$6:$A$66,0))</x:f>
        <x:v>https://arxiv.org/html/2609.00714
https://github.com/OpenBMB/ChatDev/blob/main/docs/user_guide/en/workflow_authoring.md</x:v>
      </x:c>
    </x:row>
    <x:row r="385" ht="46.5" customHeight="1">
      <x:c r="A385" s="22" t="str">
        <x:v>F20</x:v>
      </x:c>
      <x:c r="B385" s="22" t="str">
        <x:v>DEVALL</x:v>
      </x:c>
      <x:c r="C385" s="30" t="n">
        <x:f>INDEX('Matrix'!$C$6:$P$35,MATCH(A385,'Matrix'!$A$6:$A$35,0),MATCH(B385,'Matrix'!$C$4:$P$4,0))</x:f>
        <x:v>2</x:v>
      </x:c>
      <x:c r="D385" s="22" t="str">
        <x:v>Claim and evidence separation</x:v>
      </x:c>
      <x:c r="E385" s="22" t="str">
        <x:v>ChatDev 2.0 / DevAll</x:v>
      </x:c>
      <x:c r="F385" s="22" t="str">
        <x:v>Workflow/evaluation dimensions are distinguished; embedding or LLM metrics do not establish semantic acceptance.</x:v>
      </x:c>
      <x:c r="G385" s="22" t="str">
        <x:v>Published coverage; analyst judgment</x:v>
      </x:c>
      <x:c r="H385" s="22" t="str">
        <x:v>D1</x:v>
      </x:c>
      <x:c r="I385" s="50" t="str">
        <x:f>INDEX('Sources'!$D$6:$D$66,MATCH("D1",'Sources'!$A$6:$A$66,0))</x:f>
        <x:v>https://arxiv.org/html/2609.00714</x:v>
      </x:c>
    </x:row>
    <x:row r="386" ht="46.5" customHeight="1">
      <x:c r="A386" s="22" t="str">
        <x:v>F21</x:v>
      </x:c>
      <x:c r="B386" s="22" t="str">
        <x:v>DEVALL</x:v>
      </x:c>
      <x:c r="C386" s="30" t="n">
        <x:f>INDEX('Matrix'!$C$6:$P$35,MATCH(A386,'Matrix'!$A$6:$A$35,0),MATCH(B386,'Matrix'!$C$4:$P$4,0))</x:f>
        <x:v>3</x:v>
      </x:c>
      <x:c r="D386" s="22" t="str">
        <x:v>Provenance and auditability</x:v>
      </x:c>
      <x:c r="E386" s="22" t="str">
        <x:v>ChatDev 2.0 / DevAll</x:v>
      </x:c>
      <x:c r="F386" s="22" t="str">
        <x:v>Human checkpoints and configurable evaluation; independence is workflow-owned.</x:v>
      </x:c>
      <x:c r="G386" s="22" t="str">
        <x:v>Published coverage; analyst judgment</x:v>
      </x:c>
      <x:c r="H386" s="22" t="str">
        <x:v>D1, D3</x:v>
      </x:c>
      <x:c r="I386" s="50" t="str">
        <x:f>INDEX('Sources'!$D$6:$D$66,MATCH("D1",'Sources'!$A$6:$A$66,0))&amp;CHAR(10)&amp;INDEX('Sources'!$D$6:$D$66,MATCH("D3",'Sources'!$A$6:$A$66,0))</x:f>
        <x:v>https://arxiv.org/html/2609.00714
https://github.com/OpenBMB/ChatDev/blob/main/docs/user_guide/en/workflow_authoring.md</x:v>
      </x:c>
    </x:row>
    <x:row r="387" ht="46.5" customHeight="1">
      <x:c r="A387" s="22" t="str">
        <x:v>F22</x:v>
      </x:c>
      <x:c r="B387" s="22" t="str">
        <x:v>DEVALL</x:v>
      </x:c>
      <x:c r="C387" s="30" t="str">
        <x:f>INDEX('Matrix'!$C$6:$P$35,MATCH(A387,'Matrix'!$A$6:$A$35,0),MATCH(B387,'Matrix'!$C$4:$P$4,0))</x:f>
        <x:v>U</x:v>
      </x:c>
      <x:c r="D387" s="22" t="str">
        <x:v>Change impact and specification revision</x:v>
      </x:c>
      <x:c r="E387" s="22" t="str">
        <x:v>ChatDev 2.0 / DevAll</x:v>
      </x:c>
      <x:c r="F387" s="22" t="str">
        <x:v>Memory persistence and graphs do not establish specification-change impact propagation with valid-result retention.</x:v>
      </x:c>
      <x:c r="G387" s="22" t="str">
        <x:v>Published coverage; analyst judgment</x:v>
      </x:c>
      <x:c r="H387" s="22" t="str">
        <x:v>D3, D4</x:v>
      </x:c>
      <x:c r="I387" s="50" t="str">
        <x:f>INDEX('Sources'!$D$6:$D$66,MATCH("D3",'Sources'!$A$6:$A$66,0))&amp;CHAR(10)&amp;INDEX('Sources'!$D$6:$D$66,MATCH("D4",'Sources'!$A$6:$A$66,0))</x:f>
        <x:v>https://github.com/OpenBMB/ChatDev/blob/main/docs/user_guide/en/workflow_authoring.md
https://github.com/OpenBMB/ChatDev/blob/main/docs/user_guide/en/modules/memory.md</x:v>
      </x:c>
    </x:row>
    <x:row r="388" ht="46.5" customHeight="1">
      <x:c r="A388" s="22" t="str">
        <x:v>F23</x:v>
      </x:c>
      <x:c r="B388" s="22" t="str">
        <x:v>DEVALL</x:v>
      </x:c>
      <x:c r="C388" s="30" t="str">
        <x:f>INDEX('Matrix'!$C$6:$P$35,MATCH(A388,'Matrix'!$A$6:$A$35,0),MATCH(B388,'Matrix'!$C$4:$P$4,0))</x:f>
        <x:v>U</x:v>
      </x:c>
      <x:c r="D388" s="22" t="str">
        <x:v>Versioned release and adoption</x:v>
      </x:c>
      <x:c r="E388" s="22" t="str">
        <x:v>ChatDev 2.0 / DevAll</x:v>
      </x:c>
      <x:c r="F388" s="22" t="str">
        <x:v>Framework releases do not establish qualification or changed-basis adoption for products constructed through the workflow.</x:v>
      </x:c>
      <x:c r="G388" s="22" t="str">
        <x:v>Published coverage; analyst judgment</x:v>
      </x:c>
      <x:c r="H388" s="22" t="str">
        <x:v>D2, D3</x:v>
      </x:c>
      <x:c r="I388" s="50" t="str">
        <x:f>INDEX('Sources'!$D$6:$D$66,MATCH("D2",'Sources'!$A$6:$A$66,0))&amp;CHAR(10)&amp;INDEX('Sources'!$D$6:$D$66,MATCH("D3",'Sources'!$A$6:$A$66,0))</x:f>
        <x:v>https://github.com/OpenBMB/ChatDev/releases/tag/v2.2.0
https://github.com/OpenBMB/ChatDev/blob/main/docs/user_guide/en/workflow_authoring.md</x:v>
      </x:c>
    </x:row>
    <x:row r="389" ht="54" customHeight="1">
      <x:c r="A389" s="22" t="str">
        <x:v>F24</x:v>
      </x:c>
      <x:c r="B389" s="22" t="str">
        <x:v>DEVALL</x:v>
      </x:c>
      <x:c r="C389" s="30" t="n">
        <x:f>INDEX('Matrix'!$C$6:$P$35,MATCH(A389,'Matrix'!$A$6:$A$35,0),MATCH(B389,'Matrix'!$C$4:$P$4,0))</x:f>
        <x:v>3</x:v>
      </x:c>
      <x:c r="D389" s="22" t="str">
        <x:v>Reuse and extensibility</x:v>
      </x:c>
      <x:c r="E389" s="22" t="str">
        <x:v>ChatDev 2.0 / DevAll</x:v>
      </x:c>
      <x:c r="F389" s="22" t="str">
        <x:v>Reusable graphs and providers cover several non-coding processes.</x:v>
      </x:c>
      <x:c r="G389" s="22" t="str">
        <x:v>Published coverage; analyst judgment</x:v>
      </x:c>
      <x:c r="H389" s="22" t="str">
        <x:v>D1, D2, D3</x:v>
      </x:c>
      <x:c r="I389" s="50" t="str">
        <x:f>INDEX('Sources'!$D$6:$D$66,MATCH("D1",'Sources'!$A$6:$A$66,0))&amp;CHAR(10)&amp;INDEX('Sources'!$D$6:$D$66,MATCH("D2",'Sources'!$A$6:$A$66,0))&amp;CHAR(10)&amp;INDEX('Sources'!$D$6:$D$66,MATCH("D3",'Sources'!$A$6:$A$66,0))</x:f>
        <x:v>https://arxiv.org/html/2609.00714
https://github.com/OpenBMB/ChatDev/releases/tag/v2.2.0
https://github.com/OpenBMB/ChatDev/blob/main/docs/user_guide/en/workflow_authoring.md</x:v>
      </x:c>
    </x:row>
    <x:row r="390" ht="54" customHeight="1">
      <x:c r="A390" s="22" t="str">
        <x:v>F25</x:v>
      </x:c>
      <x:c r="B390" s="22" t="str">
        <x:v>DEVALL</x:v>
      </x:c>
      <x:c r="C390" s="30" t="n">
        <x:f>INDEX('Matrix'!$C$6:$P$35,MATCH(A390,'Matrix'!$A$6:$A$35,0),MATCH(B390,'Matrix'!$C$4:$P$4,0))</x:f>
        <x:v>3</x:v>
      </x:c>
      <x:c r="D390" s="22" t="str">
        <x:v>Process use beyond software</x:v>
      </x:c>
      <x:c r="E390" s="22" t="str">
        <x:v>ChatDev 2.0 / DevAll</x:v>
      </x:c>
      <x:c r="F390" s="22" t="str">
        <x:v>Reusable graphs and providers cover several non-coding processes.</x:v>
      </x:c>
      <x:c r="G390" s="22" t="str">
        <x:v>Published coverage; analyst judgment</x:v>
      </x:c>
      <x:c r="H390" s="22" t="str">
        <x:v>D1, D2, D3</x:v>
      </x:c>
      <x:c r="I390" s="50" t="str">
        <x:f>INDEX('Sources'!$D$6:$D$66,MATCH("D1",'Sources'!$A$6:$A$66,0))&amp;CHAR(10)&amp;INDEX('Sources'!$D$6:$D$66,MATCH("D2",'Sources'!$A$6:$A$66,0))&amp;CHAR(10)&amp;INDEX('Sources'!$D$6:$D$66,MATCH("D3",'Sources'!$A$6:$A$66,0))</x:f>
        <x:v>https://arxiv.org/html/2609.00714
https://github.com/OpenBMB/ChatDev/releases/tag/v2.2.0
https://github.com/OpenBMB/ChatDev/blob/main/docs/user_guide/en/workflow_authoring.md</x:v>
      </x:c>
    </x:row>
    <x:row r="391" ht="54" customHeight="1">
      <x:c r="A391" s="22" t="str">
        <x:v>F26</x:v>
      </x:c>
      <x:c r="B391" s="22" t="str">
        <x:v>DEVALL</x:v>
      </x:c>
      <x:c r="C391" s="30" t="str">
        <x:f>INDEX('Matrix'!$C$6:$P$35,MATCH(A391,'Matrix'!$A$6:$A$35,0),MATCH(B391,'Matrix'!$C$4:$P$4,0))</x:f>
        <x:v>U</x:v>
      </x:c>
      <x:c r="D391" s="22" t="str">
        <x:v>Self-application</x:v>
      </x:c>
      <x:c r="E391" s="22" t="str">
        <x:v>ChatDev 2.0 / DevAll</x:v>
      </x:c>
      <x:c r="F391" s="22" t="str">
        <x:v>Other workflows are reproduced; qualified own-method development not demonstrated.</x:v>
      </x:c>
      <x:c r="G391" s="22" t="str">
        <x:v>Published coverage; analyst judgment</x:v>
      </x:c>
      <x:c r="H391" s="22" t="str">
        <x:v>D1, D2, D3</x:v>
      </x:c>
      <x:c r="I391" s="50" t="str">
        <x:f>INDEX('Sources'!$D$6:$D$66,MATCH("D1",'Sources'!$A$6:$A$66,0))&amp;CHAR(10)&amp;INDEX('Sources'!$D$6:$D$66,MATCH("D2",'Sources'!$A$6:$A$66,0))&amp;CHAR(10)&amp;INDEX('Sources'!$D$6:$D$66,MATCH("D3",'Sources'!$A$6:$A$66,0))</x:f>
        <x:v>https://arxiv.org/html/2609.00714
https://github.com/OpenBMB/ChatDev/releases/tag/v2.2.0
https://github.com/OpenBMB/ChatDev/blob/main/docs/user_guide/en/workflow_authoring.md</x:v>
      </x:c>
    </x:row>
    <x:row r="392" ht="46.5" customHeight="1">
      <x:c r="A392" s="22" t="str">
        <x:v>F27</x:v>
      </x:c>
      <x:c r="B392" s="22" t="str">
        <x:v>DEVALL</x:v>
      </x:c>
      <x:c r="C392" s="30" t="n">
        <x:f>INDEX('Matrix'!$C$6:$P$35,MATCH(A392,'Matrix'!$A$6:$A$35,0),MATCH(B392,'Matrix'!$C$4:$P$4,0))</x:f>
        <x:v>2</x:v>
      </x:c>
      <x:c r="D392" s="22" t="str">
        <x:v>AI-native method representation</x:v>
      </x:c>
      <x:c r="E392" s="22" t="str">
        <x:v>ChatDev 2.0 / DevAll</x:v>
      </x:c>
      <x:c r="F392" s="22" t="str">
        <x:v>Canonical YAML and nested graphs represent workflows; task-memory retrieval is not demonstrated method-source acquisition.</x:v>
      </x:c>
      <x:c r="G392" s="22" t="str">
        <x:v>Published coverage; analyst judgment</x:v>
      </x:c>
      <x:c r="H392" s="22" t="str">
        <x:v>D1, D3</x:v>
      </x:c>
      <x:c r="I392" s="50" t="str">
        <x:f>INDEX('Sources'!$D$6:$D$66,MATCH("D1",'Sources'!$A$6:$A$66,0))&amp;CHAR(10)&amp;INDEX('Sources'!$D$6:$D$66,MATCH("D3",'Sources'!$A$6:$A$66,0))</x:f>
        <x:v>https://arxiv.org/html/2609.00714
https://github.com/OpenBMB/ChatDev/blob/main/docs/user_guide/en/workflow_authoring.md</x:v>
      </x:c>
    </x:row>
    <x:row r="393" ht="54" customHeight="1">
      <x:c r="A393" s="22" t="str">
        <x:v>F28</x:v>
      </x:c>
      <x:c r="B393" s="22" t="str">
        <x:v>DEVALL</x:v>
      </x:c>
      <x:c r="C393" s="30" t="n">
        <x:f>INDEX('Matrix'!$C$6:$P$35,MATCH(A393,'Matrix'!$A$6:$A$35,0),MATCH(B393,'Matrix'!$C$4:$P$4,0))</x:f>
        <x:v>2</x:v>
      </x:c>
      <x:c r="D393" s="22" t="str">
        <x:v>Onboarding and reader guidance</x:v>
      </x:c>
      <x:c r="E393" s="22" t="str">
        <x:v>ChatDev 2.0 / DevAll</x:v>
      </x:c>
      <x:c r="F393" s="22" t="str">
        <x:v>Reusable graphs and providers cover several non-coding processes.</x:v>
      </x:c>
      <x:c r="G393" s="22" t="str">
        <x:v>Published coverage; analyst judgment</x:v>
      </x:c>
      <x:c r="H393" s="22" t="str">
        <x:v>D1, D2, D3</x:v>
      </x:c>
      <x:c r="I393" s="50" t="str">
        <x:f>INDEX('Sources'!$D$6:$D$66,MATCH("D1",'Sources'!$A$6:$A$66,0))&amp;CHAR(10)&amp;INDEX('Sources'!$D$6:$D$66,MATCH("D2",'Sources'!$A$6:$A$66,0))&amp;CHAR(10)&amp;INDEX('Sources'!$D$6:$D$66,MATCH("D3",'Sources'!$A$6:$A$66,0))</x:f>
        <x:v>https://arxiv.org/html/2609.00714
https://github.com/OpenBMB/ChatDev/releases/tag/v2.2.0
https://github.com/OpenBMB/ChatDev/blob/main/docs/user_guide/en/workflow_authoring.md</x:v>
      </x:c>
    </x:row>
    <x:row r="394" ht="54" customHeight="1">
      <x:c r="A394" s="22" t="str">
        <x:v>F29</x:v>
      </x:c>
      <x:c r="B394" s="22" t="str">
        <x:v>DEVALL</x:v>
      </x:c>
      <x:c r="C394" s="30" t="n">
        <x:f>INDEX('Matrix'!$C$6:$P$35,MATCH(A394,'Matrix'!$A$6:$A$35,0),MATCH(B394,'Matrix'!$C$4:$P$4,0))</x:f>
        <x:v>2</x:v>
      </x:c>
      <x:c r="D394" s="22" t="str">
        <x:v>Evidence of effectiveness</x:v>
      </x:c>
      <x:c r="E394" s="22" t="str">
        <x:v>ChatDev 2.0 / DevAll</x:v>
      </x:c>
      <x:c r="F394" s="22" t="str">
        <x:v>Current preprint evaluates workflows; embedding/LLM metrics are not independent requirements conformance.</x:v>
      </x:c>
      <x:c r="G394" s="22" t="str">
        <x:v>Published coverage; analyst judgment</x:v>
      </x:c>
      <x:c r="H394" s="22" t="str">
        <x:v>D1, D2, D3</x:v>
      </x:c>
      <x:c r="I394" s="50" t="str">
        <x:f>INDEX('Sources'!$D$6:$D$66,MATCH("D1",'Sources'!$A$6:$A$66,0))&amp;CHAR(10)&amp;INDEX('Sources'!$D$6:$D$66,MATCH("D2",'Sources'!$A$6:$A$66,0))&amp;CHAR(10)&amp;INDEX('Sources'!$D$6:$D$66,MATCH("D3",'Sources'!$A$6:$A$66,0))</x:f>
        <x:v>https://arxiv.org/html/2609.00714
https://github.com/OpenBMB/ChatDev/releases/tag/v2.2.0
https://github.com/OpenBMB/ChatDev/blob/main/docs/user_guide/en/workflow_authoring.md</x:v>
      </x:c>
    </x:row>
    <x:row r="395" ht="54" customHeight="1">
      <x:c r="A395" s="22" t="str">
        <x:v>F30</x:v>
      </x:c>
      <x:c r="B395" s="22" t="str">
        <x:v>DEVALL</x:v>
      </x:c>
      <x:c r="C395" s="30" t="n">
        <x:f>INDEX('Matrix'!$C$6:$P$35,MATCH(A395,'Matrix'!$A$6:$A$35,0),MATCH(B395,'Matrix'!$C$4:$P$4,0))</x:f>
        <x:v>3</x:v>
      </x:c>
      <x:c r="D395" s="22" t="str">
        <x:v>Work and resource measurement</x:v>
      </x:c>
      <x:c r="E395" s="22" t="str">
        <x:v>ChatDev 2.0 / DevAll</x:v>
      </x:c>
      <x:c r="F395" s="22" t="str">
        <x:v>Token/execution records and evaluated cost observations are reported.</x:v>
      </x:c>
      <x:c r="G395" s="22" t="str">
        <x:v>Published coverage; analyst judgment</x:v>
      </x:c>
      <x:c r="H395" s="22" t="str">
        <x:v>D1, D2, D3</x:v>
      </x:c>
      <x:c r="I395" s="50" t="str">
        <x:f>INDEX('Sources'!$D$6:$D$66,MATCH("D1",'Sources'!$A$6:$A$66,0))&amp;CHAR(10)&amp;INDEX('Sources'!$D$6:$D$66,MATCH("D2",'Sources'!$A$6:$A$66,0))&amp;CHAR(10)&amp;INDEX('Sources'!$D$6:$D$66,MATCH("D3",'Sources'!$A$6:$A$66,0))</x:f>
        <x:v>https://arxiv.org/html/2609.00714
https://github.com/OpenBMB/ChatDev/releases/tag/v2.2.0
https://github.com/OpenBMB/ChatDev/blob/main/docs/user_guide/en/workflow_authoring.md</x:v>
      </x:c>
    </x:row>
    <x:row r="396" ht="46.5" customHeight="1">
      <x:c r="A396" s="22" t="str">
        <x:v>F01</x:v>
      </x:c>
      <x:c r="B396" s="22" t="str">
        <x:v>AGENTLESS</x:v>
      </x:c>
      <x:c r="C396" s="30" t="n">
        <x:f>INDEX('Matrix'!$C$6:$P$35,MATCH(A396,'Matrix'!$A$6:$A$35,0),MATCH(B396,'Matrix'!$C$4:$P$4,0))</x:f>
        <x:v>2</x:v>
      </x:c>
      <x:c r="D396" s="22" t="str">
        <x:v>Intent and success criteria</x:v>
      </x:c>
      <x:c r="E396" s="22" t="str">
        <x:v>Agentless</x:v>
      </x:c>
      <x:c r="F396" s="22" t="str">
        <x:v>Issue description and existing repository define a bounded repair target.</x:v>
      </x:c>
      <x:c r="G396" s="22" t="str">
        <x:v>Published coverage; analyst judgment</x:v>
      </x:c>
      <x:c r="H396" s="22" t="str">
        <x:v>L1, L2</x:v>
      </x:c>
      <x:c r="I396" s="50" t="str">
        <x:f>INDEX('Sources'!$D$6:$D$66,MATCH("L1",'Sources'!$A$6:$A$66,0))&amp;CHAR(10)&amp;INDEX('Sources'!$D$6:$D$66,MATCH("L2",'Sources'!$A$6:$A$66,0))</x:f>
        <x:v>https://arxiv.org/html/2407.01489
https://github.com/OpenAutoCoder/Agentless</x:v>
      </x:c>
    </x:row>
    <x:row r="397" ht="46.5" customHeight="1">
      <x:c r="A397" s="22" t="str">
        <x:v>F02</x:v>
      </x:c>
      <x:c r="B397" s="22" t="str">
        <x:v>AGENTLESS</x:v>
      </x:c>
      <x:c r="C397" s="30" t="n">
        <x:f>INDEX('Matrix'!$C$6:$P$35,MATCH(A397,'Matrix'!$A$6:$A$35,0),MATCH(B397,'Matrix'!$C$4:$P$4,0))</x:f>
        <x:v>0</x:v>
      </x:c>
      <x:c r="D397" s="22" t="str">
        <x:v>Product definition and scope</x:v>
      </x:c>
      <x:c r="E397" s="22" t="str">
        <x:v>Agentless</x:v>
      </x:c>
      <x:c r="F397" s="22" t="str">
        <x:v>Not prescribed within the inspected method scope.</x:v>
      </x:c>
      <x:c r="G397" s="22" t="str">
        <x:v>Published coverage; analyst judgment</x:v>
      </x:c>
      <x:c r="H397" s="22" t="str">
        <x:v>L1, L2</x:v>
      </x:c>
      <x:c r="I397" s="50" t="str">
        <x:f>INDEX('Sources'!$D$6:$D$66,MATCH("L1",'Sources'!$A$6:$A$66,0))&amp;CHAR(10)&amp;INDEX('Sources'!$D$6:$D$66,MATCH("L2",'Sources'!$A$6:$A$66,0))</x:f>
        <x:v>https://arxiv.org/html/2407.01489
https://github.com/OpenAutoCoder/Agentless</x:v>
      </x:c>
    </x:row>
    <x:row r="398" ht="46.5" customHeight="1">
      <x:c r="A398" s="22" t="str">
        <x:v>F03</x:v>
      </x:c>
      <x:c r="B398" s="22" t="str">
        <x:v>AGENTLESS</x:v>
      </x:c>
      <x:c r="C398" s="30" t="n">
        <x:f>INDEX('Matrix'!$C$6:$P$35,MATCH(A398,'Matrix'!$A$6:$A$35,0),MATCH(B398,'Matrix'!$C$4:$P$4,0))</x:f>
        <x:v>1</x:v>
      </x:c>
      <x:c r="D398" s="22" t="str">
        <x:v>Requirements before construction</x:v>
      </x:c>
      <x:c r="E398" s="22" t="str">
        <x:v>Agentless</x:v>
      </x:c>
      <x:c r="F398" s="22" t="str">
        <x:v>Issue description and existing repository define a bounded repair target.</x:v>
      </x:c>
      <x:c r="G398" s="22" t="str">
        <x:v>Published coverage; analyst judgment</x:v>
      </x:c>
      <x:c r="H398" s="22" t="str">
        <x:v>L1, L2</x:v>
      </x:c>
      <x:c r="I398" s="50" t="str">
        <x:f>INDEX('Sources'!$D$6:$D$66,MATCH("L1",'Sources'!$A$6:$A$66,0))&amp;CHAR(10)&amp;INDEX('Sources'!$D$6:$D$66,MATCH("L2",'Sources'!$A$6:$A$66,0))</x:f>
        <x:v>https://arxiv.org/html/2407.01489
https://github.com/OpenAutoCoder/Agentless</x:v>
      </x:c>
    </x:row>
    <x:row r="399" ht="46.5" customHeight="1">
      <x:c r="A399" s="22" t="str">
        <x:v>F04</x:v>
      </x:c>
      <x:c r="B399" s="22" t="str">
        <x:v>AGENTLESS</x:v>
      </x:c>
      <x:c r="C399" s="30" t="n">
        <x:f>INDEX('Matrix'!$C$6:$P$35,MATCH(A399,'Matrix'!$A$6:$A$35,0),MATCH(B399,'Matrix'!$C$4:$P$4,0))</x:f>
        <x:v>0</x:v>
      </x:c>
      <x:c r="D399" s="22" t="str">
        <x:v>Design separated from requirements</x:v>
      </x:c>
      <x:c r="E399" s="22" t="str">
        <x:v>Agentless</x:v>
      </x:c>
      <x:c r="F399" s="22" t="str">
        <x:v>Not prescribed within the inspected method scope.</x:v>
      </x:c>
      <x:c r="G399" s="22" t="str">
        <x:v>Published coverage; analyst judgment</x:v>
      </x:c>
      <x:c r="H399" s="22" t="str">
        <x:v>L1, L2</x:v>
      </x:c>
      <x:c r="I399" s="50" t="str">
        <x:f>INDEX('Sources'!$D$6:$D$66,MATCH("L1",'Sources'!$A$6:$A$66,0))&amp;CHAR(10)&amp;INDEX('Sources'!$D$6:$D$66,MATCH("L2",'Sources'!$A$6:$A$66,0))</x:f>
        <x:v>https://arxiv.org/html/2407.01489
https://github.com/OpenAutoCoder/Agentless</x:v>
      </x:c>
    </x:row>
    <x:row r="400" ht="46.5" customHeight="1">
      <x:c r="A400" s="22" t="str">
        <x:v>F05</x:v>
      </x:c>
      <x:c r="B400" s="22" t="str">
        <x:v>AGENTLESS</x:v>
      </x:c>
      <x:c r="C400" s="30" t="n">
        <x:f>INDEX('Matrix'!$C$6:$P$35,MATCH(A400,'Matrix'!$A$6:$A$35,0),MATCH(B400,'Matrix'!$C$4:$P$4,0))</x:f>
        <x:v>2</x:v>
      </x:c>
      <x:c r="D400" s="22" t="str">
        <x:v>Traceability across stages</x:v>
      </x:c>
      <x:c r="E400" s="22" t="str">
        <x:v>Agentless</x:v>
      </x:c>
      <x:c r="F400" s="22" t="str">
        <x:v>Issue description and existing repository define a bounded repair target.</x:v>
      </x:c>
      <x:c r="G400" s="22" t="str">
        <x:v>Published coverage; analyst judgment</x:v>
      </x:c>
      <x:c r="H400" s="22" t="str">
        <x:v>L1, L2</x:v>
      </x:c>
      <x:c r="I400" s="50" t="str">
        <x:f>INDEX('Sources'!$D$6:$D$66,MATCH("L1",'Sources'!$A$6:$A$66,0))&amp;CHAR(10)&amp;INDEX('Sources'!$D$6:$D$66,MATCH("L2",'Sources'!$A$6:$A$66,0))</x:f>
        <x:v>https://arxiv.org/html/2407.01489
https://github.com/OpenAutoCoder/Agentless</x:v>
      </x:c>
    </x:row>
    <x:row r="401" ht="46.5" customHeight="1">
      <x:c r="A401" s="22" t="str">
        <x:v>F06</x:v>
      </x:c>
      <x:c r="B401" s="22" t="str">
        <x:v>AGENTLESS</x:v>
      </x:c>
      <x:c r="C401" s="30" t="n">
        <x:f>INDEX('Matrix'!$C$6:$P$35,MATCH(A401,'Matrix'!$A$6:$A$35,0),MATCH(B401,'Matrix'!$C$4:$P$4,0))</x:f>
        <x:v>1</x:v>
      </x:c>
      <x:c r="D401" s="22" t="str">
        <x:v>Domain concepts and identity</x:v>
      </x:c>
      <x:c r="E401" s="22" t="str">
        <x:v>Agentless</x:v>
      </x:c>
      <x:c r="F401" s="22" t="str">
        <x:v>Structured locations and small edit formats; no general semantic contract algebra.</x:v>
      </x:c>
      <x:c r="G401" s="22" t="str">
        <x:v>Published coverage; analyst judgment</x:v>
      </x:c>
      <x:c r="H401" s="22" t="str">
        <x:v>L1</x:v>
      </x:c>
      <x:c r="I401" s="50" t="str">
        <x:f>INDEX('Sources'!$D$6:$D$66,MATCH("L1",'Sources'!$A$6:$A$66,0))</x:f>
        <x:v>https://arxiv.org/html/2407.01489</x:v>
      </x:c>
    </x:row>
    <x:row r="402" ht="46.5" customHeight="1">
      <x:c r="A402" s="22" t="str">
        <x:v>F07</x:v>
      </x:c>
      <x:c r="B402" s="22" t="str">
        <x:v>AGENTLESS</x:v>
      </x:c>
      <x:c r="C402" s="30" t="n">
        <x:f>INDEX('Matrix'!$C$6:$P$35,MATCH(A402,'Matrix'!$A$6:$A$35,0),MATCH(B402,'Matrix'!$C$4:$P$4,0))</x:f>
        <x:v>2</x:v>
      </x:c>
      <x:c r="D402" s="22" t="str">
        <x:v>Explicit inputs, outputs and contracts</x:v>
      </x:c>
      <x:c r="E402" s="22" t="str">
        <x:v>Agentless</x:v>
      </x:c>
      <x:c r="F402" s="22" t="str">
        <x:v>Issue/repository inputs, locations, edit formats and patch validation/selection outputs provide explicit scoped contracts.</x:v>
      </x:c>
      <x:c r="G402" s="22" t="str">
        <x:v>Published coverage; analyst judgment</x:v>
      </x:c>
      <x:c r="H402" s="22" t="str">
        <x:v>L1</x:v>
      </x:c>
      <x:c r="I402" s="50" t="str">
        <x:f>INDEX('Sources'!$D$6:$D$66,MATCH("L1",'Sources'!$A$6:$A$66,0))</x:f>
        <x:v>https://arxiv.org/html/2407.01489</x:v>
      </x:c>
    </x:row>
    <x:row r="403" ht="46.5" customHeight="1">
      <x:c r="A403" s="22" t="str">
        <x:v>F08</x:v>
      </x:c>
      <x:c r="B403" s="22" t="str">
        <x:v>AGENTLESS</x:v>
      </x:c>
      <x:c r="C403" s="30" t="n">
        <x:f>INDEX('Matrix'!$C$6:$P$35,MATCH(A403,'Matrix'!$A$6:$A$35,0),MATCH(B403,'Matrix'!$C$4:$P$4,0))</x:f>
        <x:v>2</x:v>
      </x:c>
      <x:c r="D403" s="22" t="str">
        <x:v>Invariants and semantic constraints</x:v>
      </x:c>
      <x:c r="E403" s="22" t="str">
        <x:v>Agentless</x:v>
      </x:c>
      <x:c r="F403" s="22" t="str">
        <x:v>Structured locations and small edit formats; no general semantic contract algebra.</x:v>
      </x:c>
      <x:c r="G403" s="22" t="str">
        <x:v>Published coverage; analyst judgment</x:v>
      </x:c>
      <x:c r="H403" s="22" t="str">
        <x:v>L1</x:v>
      </x:c>
      <x:c r="I403" s="50" t="str">
        <x:f>INDEX('Sources'!$D$6:$D$66,MATCH("L1",'Sources'!$A$6:$A$66,0))</x:f>
        <x:v>https://arxiv.org/html/2407.01489</x:v>
      </x:c>
    </x:row>
    <x:row r="404" ht="46.5" customHeight="1">
      <x:c r="A404" s="22" t="str">
        <x:v>F09</x:v>
      </x:c>
      <x:c r="B404" s="22" t="str">
        <x:v>AGENTLESS</x:v>
      </x:c>
      <x:c r="C404" s="30" t="n">
        <x:f>INDEX('Matrix'!$C$6:$P$35,MATCH(A404,'Matrix'!$A$6:$A$35,0),MATCH(B404,'Matrix'!$C$4:$P$4,0))</x:f>
        <x:v>0</x:v>
      </x:c>
      <x:c r="D404" s="22" t="str">
        <x:v>Composition and formal reasoning</x:v>
      </x:c>
      <x:c r="E404" s="22" t="str">
        <x:v>Agentless</x:v>
      </x:c>
      <x:c r="F404" s="22" t="str">
        <x:v>Not prescribed within the inspected method scope.</x:v>
      </x:c>
      <x:c r="G404" s="22" t="str">
        <x:v>Published coverage; analyst judgment</x:v>
      </x:c>
      <x:c r="H404" s="22" t="str">
        <x:v>L1</x:v>
      </x:c>
      <x:c r="I404" s="50" t="str">
        <x:f>INDEX('Sources'!$D$6:$D$66,MATCH("L1",'Sources'!$A$6:$A$66,0))</x:f>
        <x:v>https://arxiv.org/html/2407.01489</x:v>
      </x:c>
    </x:row>
    <x:row r="405" ht="46.5" customHeight="1">
      <x:c r="A405" s="22" t="str">
        <x:v>F10</x:v>
      </x:c>
      <x:c r="B405" s="22" t="str">
        <x:v>AGENTLESS</x:v>
      </x:c>
      <x:c r="C405" s="30" t="n">
        <x:f>INDEX('Matrix'!$C$6:$P$35,MATCH(A405,'Matrix'!$A$6:$A$35,0),MATCH(B405,'Matrix'!$C$4:$P$4,0))</x:f>
        <x:v>3</x:v>
      </x:c>
      <x:c r="D405" s="22" t="str">
        <x:v>Relevant context selection</x:v>
      </x:c>
      <x:c r="E405" s="22" t="str">
        <x:v>Agentless</x:v>
      </x:c>
      <x:c r="F405" s="22" t="str">
        <x:v>Tree-to-file-skeleton-to-location narrowing; fixed host pipeline with patch sampling.</x:v>
      </x:c>
      <x:c r="G405" s="22" t="str">
        <x:v>Published coverage; analyst judgment</x:v>
      </x:c>
      <x:c r="H405" s="22" t="str">
        <x:v>L1</x:v>
      </x:c>
      <x:c r="I405" s="50" t="str">
        <x:f>INDEX('Sources'!$D$6:$D$66,MATCH("L1",'Sources'!$A$6:$A$66,0))</x:f>
        <x:v>https://arxiv.org/html/2407.01489</x:v>
      </x:c>
    </x:row>
    <x:row r="406" ht="46.5" customHeight="1">
      <x:c r="A406" s="22" t="str">
        <x:v>F11</x:v>
      </x:c>
      <x:c r="B406" s="22" t="str">
        <x:v>AGENTLESS</x:v>
      </x:c>
      <x:c r="C406" s="30" t="n">
        <x:f>INDEX('Matrix'!$C$6:$P$35,MATCH(A406,'Matrix'!$A$6:$A$35,0),MATCH(B406,'Matrix'!$C$4:$P$4,0))</x:f>
        <x:v>3</x:v>
      </x:c>
      <x:c r="D406" s="22" t="str">
        <x:v>Attention fit and proportionality</x:v>
      </x:c>
      <x:c r="E406" s="22" t="str">
        <x:v>Agentless</x:v>
      </x:c>
      <x:c r="F406" s="22" t="str">
        <x:v>Tree-to-file-skeleton-to-location narrowing; fixed host pipeline with patch sampling.</x:v>
      </x:c>
      <x:c r="G406" s="22" t="str">
        <x:v>Published coverage; analyst judgment</x:v>
      </x:c>
      <x:c r="H406" s="22" t="str">
        <x:v>L1</x:v>
      </x:c>
      <x:c r="I406" s="50" t="str">
        <x:f>INDEX('Sources'!$D$6:$D$66,MATCH("L1",'Sources'!$A$6:$A$66,0))</x:f>
        <x:v>https://arxiv.org/html/2407.01489</x:v>
      </x:c>
    </x:row>
    <x:row r="407" ht="46.5" customHeight="1">
      <x:c r="A407" s="22" t="str">
        <x:v>F12</x:v>
      </x:c>
      <x:c r="B407" s="22" t="str">
        <x:v>AGENTLESS</x:v>
      </x:c>
      <x:c r="C407" s="30" t="n">
        <x:f>INDEX('Matrix'!$C$6:$P$35,MATCH(A407,'Matrix'!$A$6:$A$35,0),MATCH(B407,'Matrix'!$C$4:$P$4,0))</x:f>
        <x:v>3</x:v>
      </x:c>
      <x:c r="D407" s="22" t="str">
        <x:v>Bounded probabilistic construction</x:v>
      </x:c>
      <x:c r="E407" s="22" t="str">
        <x:v>Agentless</x:v>
      </x:c>
      <x:c r="F407" s="22" t="str">
        <x:v>Tree-to-file-skeleton-to-location narrowing; fixed host pipeline with patch sampling.</x:v>
      </x:c>
      <x:c r="G407" s="22" t="str">
        <x:v>Published coverage; analyst judgment</x:v>
      </x:c>
      <x:c r="H407" s="22" t="str">
        <x:v>L1</x:v>
      </x:c>
      <x:c r="I407" s="50" t="str">
        <x:f>INDEX('Sources'!$D$6:$D$66,MATCH("L1",'Sources'!$A$6:$A$66,0))</x:f>
        <x:v>https://arxiv.org/html/2407.01489</x:v>
      </x:c>
    </x:row>
    <x:row r="408" ht="46.5" customHeight="1">
      <x:c r="A408" s="22" t="str">
        <x:v>F13</x:v>
      </x:c>
      <x:c r="B408" s="22" t="str">
        <x:v>AGENTLESS</x:v>
      </x:c>
      <x:c r="C408" s="30" t="n">
        <x:f>INDEX('Matrix'!$C$6:$P$35,MATCH(A408,'Matrix'!$A$6:$A$35,0),MATCH(B408,'Matrix'!$C$4:$P$4,0))</x:f>
        <x:v>2</x:v>
      </x:c>
      <x:c r="D408" s="22" t="str">
        <x:v>Decomposition and recursive workflows</x:v>
      </x:c>
      <x:c r="E408" s="22" t="str">
        <x:v>Agentless</x:v>
      </x:c>
      <x:c r="F408" s="22" t="str">
        <x:v>Tree-to-file-skeleton-to-location narrowing; fixed host pipeline with patch sampling.</x:v>
      </x:c>
      <x:c r="G408" s="22" t="str">
        <x:v>Published coverage; analyst judgment</x:v>
      </x:c>
      <x:c r="H408" s="22" t="str">
        <x:v>L1</x:v>
      </x:c>
      <x:c r="I408" s="50" t="str">
        <x:f>INDEX('Sources'!$D$6:$D$66,MATCH("L1",'Sources'!$A$6:$A$66,0))</x:f>
        <x:v>https://arxiv.org/html/2407.01489</x:v>
      </x:c>
    </x:row>
    <x:row r="409" ht="46.5" customHeight="1">
      <x:c r="A409" s="22" t="str">
        <x:v>F14</x:v>
      </x:c>
      <x:c r="B409" s="22" t="str">
        <x:v>AGENTLESS</x:v>
      </x:c>
      <x:c r="C409" s="30" t="n">
        <x:f>INDEX('Matrix'!$C$6:$P$35,MATCH(A409,'Matrix'!$A$6:$A$35,0),MATCH(B409,'Matrix'!$C$4:$P$4,0))</x:f>
        <x:v>1</x:v>
      </x:c>
      <x:c r="D409" s="22" t="str">
        <x:v>Durable state and resumption</x:v>
      </x:c>
      <x:c r="E409" s="22" t="str">
        <x:v>Agentless</x:v>
      </x:c>
      <x:c r="F409" s="22" t="str">
        <x:v>Tree-to-file-skeleton-to-location narrowing; fixed host pipeline with patch sampling.</x:v>
      </x:c>
      <x:c r="G409" s="22" t="str">
        <x:v>Published coverage; analyst judgment</x:v>
      </x:c>
      <x:c r="H409" s="22" t="str">
        <x:v>L1</x:v>
      </x:c>
      <x:c r="I409" s="50" t="str">
        <x:f>INDEX('Sources'!$D$6:$D$66,MATCH("L1",'Sources'!$A$6:$A$66,0))</x:f>
        <x:v>https://arxiv.org/html/2407.01489</x:v>
      </x:c>
    </x:row>
    <x:row r="410" ht="46.5" customHeight="1">
      <x:c r="A410" s="22" t="str">
        <x:v>F15</x:v>
      </x:c>
      <x:c r="B410" s="22" t="str">
        <x:v>AGENTLESS</x:v>
      </x:c>
      <x:c r="C410" s="30" t="n">
        <x:f>INDEX('Matrix'!$C$6:$P$35,MATCH(A410,'Matrix'!$A$6:$A$35,0),MATCH(B410,'Matrix'!$C$4:$P$4,0))</x:f>
        <x:v>2</x:v>
      </x:c>
      <x:c r="D410" s="22" t="str">
        <x:v>Observation and next-action feedback</x:v>
      </x:c>
      <x:c r="E410" s="22" t="str">
        <x:v>Agentless</x:v>
      </x:c>
      <x:c r="F410" s="22" t="str">
        <x:v>Tree-to-file-skeleton-to-location narrowing; fixed host pipeline with patch sampling.</x:v>
      </x:c>
      <x:c r="G410" s="22" t="str">
        <x:v>Published coverage; analyst judgment</x:v>
      </x:c>
      <x:c r="H410" s="22" t="str">
        <x:v>L1</x:v>
      </x:c>
      <x:c r="I410" s="50" t="str">
        <x:f>INDEX('Sources'!$D$6:$D$66,MATCH("L1",'Sources'!$A$6:$A$66,0))</x:f>
        <x:v>https://arxiv.org/html/2407.01489</x:v>
      </x:c>
    </x:row>
    <x:row r="411" ht="46.5" customHeight="1">
      <x:c r="A411" s="22" t="str">
        <x:v>F16</x:v>
      </x:c>
      <x:c r="B411" s="22" t="str">
        <x:v>AGENTLESS</x:v>
      </x:c>
      <x:c r="C411" s="30" t="n">
        <x:f>INDEX('Matrix'!$C$6:$P$35,MATCH(A411,'Matrix'!$A$6:$A$35,0),MATCH(B411,'Matrix'!$C$4:$P$4,0))</x:f>
        <x:v>2</x:v>
      </x:c>
      <x:c r="D411" s="22" t="str">
        <x:v>Uncertainty, stops and re-entry</x:v>
      </x:c>
      <x:c r="E411" s="22" t="str">
        <x:v>Agentless</x:v>
      </x:c>
      <x:c r="F411" s="22" t="str">
        <x:v>Tree-to-file-skeleton-to-location narrowing; fixed host pipeline with patch sampling.</x:v>
      </x:c>
      <x:c r="G411" s="22" t="str">
        <x:v>Published coverage; analyst judgment</x:v>
      </x:c>
      <x:c r="H411" s="22" t="str">
        <x:v>L1</x:v>
      </x:c>
      <x:c r="I411" s="50" t="str">
        <x:f>INDEX('Sources'!$D$6:$D$66,MATCH("L1",'Sources'!$A$6:$A$66,0))</x:f>
        <x:v>https://arxiv.org/html/2407.01489</x:v>
      </x:c>
    </x:row>
    <x:row r="412" ht="46.5" customHeight="1">
      <x:c r="A412" s="22" t="str">
        <x:v>F17</x:v>
      </x:c>
      <x:c r="B412" s="22" t="str">
        <x:v>AGENTLESS</x:v>
      </x:c>
      <x:c r="C412" s="30" t="n">
        <x:f>INDEX('Matrix'!$C$6:$P$35,MATCH(A412,'Matrix'!$A$6:$A$35,0),MATCH(B412,'Matrix'!$C$4:$P$4,0))</x:f>
        <x:v>1</x:v>
      </x:c>
      <x:c r="D412" s="22" t="str">
        <x:v>Permissions and effect boundaries</x:v>
      </x:c>
      <x:c r="E412" s="22" t="str">
        <x:v>Agentless</x:v>
      </x:c>
      <x:c r="F412" s="22" t="str">
        <x:v>Generated reproduction tests and existing regressions filter patches.</x:v>
      </x:c>
      <x:c r="G412" s="22" t="str">
        <x:v>Published coverage; analyst judgment</x:v>
      </x:c>
      <x:c r="H412" s="22" t="str">
        <x:v>L1, L2</x:v>
      </x:c>
      <x:c r="I412" s="50" t="str">
        <x:f>INDEX('Sources'!$D$6:$D$66,MATCH("L1",'Sources'!$A$6:$A$66,0))&amp;CHAR(10)&amp;INDEX('Sources'!$D$6:$D$66,MATCH("L2",'Sources'!$A$6:$A$66,0))</x:f>
        <x:v>https://arxiv.org/html/2407.01489
https://github.com/OpenAutoCoder/Agentless</x:v>
      </x:c>
    </x:row>
    <x:row r="413" ht="46.5" customHeight="1">
      <x:c r="A413" s="22" t="str">
        <x:v>F18</x:v>
      </x:c>
      <x:c r="B413" s="22" t="str">
        <x:v>AGENTLESS</x:v>
      </x:c>
      <x:c r="C413" s="30" t="n">
        <x:f>INDEX('Matrix'!$C$6:$P$35,MATCH(A413,'Matrix'!$A$6:$A$35,0),MATCH(B413,'Matrix'!$C$4:$P$4,0))</x:f>
        <x:v>1</x:v>
      </x:c>
      <x:c r="D413" s="22" t="str">
        <x:v>Independent assessment</x:v>
      </x:c>
      <x:c r="E413" s="22" t="str">
        <x:v>Agentless</x:v>
      </x:c>
      <x:c r="F413" s="22" t="str">
        <x:v>Test execution provides separation; generated oracles involve the same LLM process.</x:v>
      </x:c>
      <x:c r="G413" s="22" t="str">
        <x:v>Published coverage; analyst judgment</x:v>
      </x:c>
      <x:c r="H413" s="22" t="str">
        <x:v>L1, L2</x:v>
      </x:c>
      <x:c r="I413" s="50" t="str">
        <x:f>INDEX('Sources'!$D$6:$D$66,MATCH("L1",'Sources'!$A$6:$A$66,0))&amp;CHAR(10)&amp;INDEX('Sources'!$D$6:$D$66,MATCH("L2",'Sources'!$A$6:$A$66,0))</x:f>
        <x:v>https://arxiv.org/html/2407.01489
https://github.com/OpenAutoCoder/Agentless</x:v>
      </x:c>
    </x:row>
    <x:row r="414" ht="46.5" customHeight="1">
      <x:c r="A414" s="22" t="str">
        <x:v>F19</x:v>
      </x:c>
      <x:c r="B414" s="22" t="str">
        <x:v>AGENTLESS</x:v>
      </x:c>
      <x:c r="C414" s="30" t="n">
        <x:f>INDEX('Matrix'!$C$6:$P$35,MATCH(A414,'Matrix'!$A$6:$A$35,0),MATCH(B414,'Matrix'!$C$4:$P$4,0))</x:f>
        <x:v>3</x:v>
      </x:c>
      <x:c r="D414" s="22" t="str">
        <x:v>Operational and negative tests</x:v>
      </x:c>
      <x:c r="E414" s="22" t="str">
        <x:v>Agentless</x:v>
      </x:c>
      <x:c r="F414" s="22" t="str">
        <x:v>Generated reproduction tests and existing regressions filter patches.</x:v>
      </x:c>
      <x:c r="G414" s="22" t="str">
        <x:v>Published coverage; analyst judgment</x:v>
      </x:c>
      <x:c r="H414" s="22" t="str">
        <x:v>L1, L2</x:v>
      </x:c>
      <x:c r="I414" s="50" t="str">
        <x:f>INDEX('Sources'!$D$6:$D$66,MATCH("L1",'Sources'!$A$6:$A$66,0))&amp;CHAR(10)&amp;INDEX('Sources'!$D$6:$D$66,MATCH("L2",'Sources'!$A$6:$A$66,0))</x:f>
        <x:v>https://arxiv.org/html/2407.01489
https://github.com/OpenAutoCoder/Agentless</x:v>
      </x:c>
    </x:row>
    <x:row r="415" ht="46.5" customHeight="1">
      <x:c r="A415" s="22" t="str">
        <x:v>F20</x:v>
      </x:c>
      <x:c r="B415" s="22" t="str">
        <x:v>AGENTLESS</x:v>
      </x:c>
      <x:c r="C415" s="30" t="n">
        <x:f>INDEX('Matrix'!$C$6:$P$35,MATCH(A415,'Matrix'!$A$6:$A$35,0),MATCH(B415,'Matrix'!$C$4:$P$4,0))</x:f>
        <x:v>2</x:v>
      </x:c>
      <x:c r="D415" s="22" t="str">
        <x:v>Claim and evidence separation</x:v>
      </x:c>
      <x:c r="E415" s="22" t="str">
        <x:v>Agentless</x:v>
      </x:c>
      <x:c r="F415" s="22" t="str">
        <x:v>Generated reproduction tests and existing regressions filter patches.</x:v>
      </x:c>
      <x:c r="G415" s="22" t="str">
        <x:v>Published coverage; analyst judgment</x:v>
      </x:c>
      <x:c r="H415" s="22" t="str">
        <x:v>L1, L2</x:v>
      </x:c>
      <x:c r="I415" s="50" t="str">
        <x:f>INDEX('Sources'!$D$6:$D$66,MATCH("L1",'Sources'!$A$6:$A$66,0))&amp;CHAR(10)&amp;INDEX('Sources'!$D$6:$D$66,MATCH("L2",'Sources'!$A$6:$A$66,0))</x:f>
        <x:v>https://arxiv.org/html/2407.01489
https://github.com/OpenAutoCoder/Agentless</x:v>
      </x:c>
    </x:row>
    <x:row r="416" ht="46.5" customHeight="1">
      <x:c r="A416" s="22" t="str">
        <x:v>F21</x:v>
      </x:c>
      <x:c r="B416" s="22" t="str">
        <x:v>AGENTLESS</x:v>
      </x:c>
      <x:c r="C416" s="30" t="n">
        <x:f>INDEX('Matrix'!$C$6:$P$35,MATCH(A416,'Matrix'!$A$6:$A$35,0),MATCH(B416,'Matrix'!$C$4:$P$4,0))</x:f>
        <x:v>3</x:v>
      </x:c>
      <x:c r="D416" s="22" t="str">
        <x:v>Provenance and auditability</x:v>
      </x:c>
      <x:c r="E416" s="22" t="str">
        <x:v>Agentless</x:v>
      </x:c>
      <x:c r="F416" s="22" t="str">
        <x:v>Generated reproduction tests and existing regressions filter patches.</x:v>
      </x:c>
      <x:c r="G416" s="22" t="str">
        <x:v>Published coverage; analyst judgment</x:v>
      </x:c>
      <x:c r="H416" s="22" t="str">
        <x:v>L1, L2</x:v>
      </x:c>
      <x:c r="I416" s="50" t="str">
        <x:f>INDEX('Sources'!$D$6:$D$66,MATCH("L1",'Sources'!$A$6:$A$66,0))&amp;CHAR(10)&amp;INDEX('Sources'!$D$6:$D$66,MATCH("L2",'Sources'!$A$6:$A$66,0))</x:f>
        <x:v>https://arxiv.org/html/2407.01489
https://github.com/OpenAutoCoder/Agentless</x:v>
      </x:c>
    </x:row>
    <x:row r="417" ht="46.5" customHeight="1">
      <x:c r="A417" s="22" t="str">
        <x:v>F22</x:v>
      </x:c>
      <x:c r="B417" s="22" t="str">
        <x:v>AGENTLESS</x:v>
      </x:c>
      <x:c r="C417" s="30" t="n">
        <x:f>INDEX('Matrix'!$C$6:$P$35,MATCH(A417,'Matrix'!$A$6:$A$35,0),MATCH(B417,'Matrix'!$C$4:$P$4,0))</x:f>
        <x:v>0</x:v>
      </x:c>
      <x:c r="D417" s="22" t="str">
        <x:v>Change impact and specification revision</x:v>
      </x:c>
      <x:c r="E417" s="22" t="str">
        <x:v>Agentless</x:v>
      </x:c>
      <x:c r="F417" s="22" t="str">
        <x:v>Not prescribed within the inspected method scope.</x:v>
      </x:c>
      <x:c r="G417" s="22" t="str">
        <x:v>Published coverage; analyst judgment</x:v>
      </x:c>
      <x:c r="H417" s="22" t="str">
        <x:v>L1, L2</x:v>
      </x:c>
      <x:c r="I417" s="50" t="str">
        <x:f>INDEX('Sources'!$D$6:$D$66,MATCH("L1",'Sources'!$A$6:$A$66,0))&amp;CHAR(10)&amp;INDEX('Sources'!$D$6:$D$66,MATCH("L2",'Sources'!$A$6:$A$66,0))</x:f>
        <x:v>https://arxiv.org/html/2407.01489
https://github.com/OpenAutoCoder/Agentless</x:v>
      </x:c>
    </x:row>
    <x:row r="418" ht="46.5" customHeight="1">
      <x:c r="A418" s="22" t="str">
        <x:v>F23</x:v>
      </x:c>
      <x:c r="B418" s="22" t="str">
        <x:v>AGENTLESS</x:v>
      </x:c>
      <x:c r="C418" s="30" t="n">
        <x:f>INDEX('Matrix'!$C$6:$P$35,MATCH(A418,'Matrix'!$A$6:$A$35,0),MATCH(B418,'Matrix'!$C$4:$P$4,0))</x:f>
        <x:v>0</x:v>
      </x:c>
      <x:c r="D418" s="22" t="str">
        <x:v>Versioned release and adoption</x:v>
      </x:c>
      <x:c r="E418" s="22" t="str">
        <x:v>Agentless</x:v>
      </x:c>
      <x:c r="F418" s="22" t="str">
        <x:v>Not prescribed within the inspected method scope.</x:v>
      </x:c>
      <x:c r="G418" s="22" t="str">
        <x:v>Published coverage; analyst judgment</x:v>
      </x:c>
      <x:c r="H418" s="22" t="str">
        <x:v>L1, L2</x:v>
      </x:c>
      <x:c r="I418" s="50" t="str">
        <x:f>INDEX('Sources'!$D$6:$D$66,MATCH("L1",'Sources'!$A$6:$A$66,0))&amp;CHAR(10)&amp;INDEX('Sources'!$D$6:$D$66,MATCH("L2",'Sources'!$A$6:$A$66,0))</x:f>
        <x:v>https://arxiv.org/html/2407.01489
https://github.com/OpenAutoCoder/Agentless</x:v>
      </x:c>
    </x:row>
    <x:row r="419" ht="46.5" customHeight="1">
      <x:c r="A419" s="22" t="str">
        <x:v>F24</x:v>
      </x:c>
      <x:c r="B419" s="22" t="str">
        <x:v>AGENTLESS</x:v>
      </x:c>
      <x:c r="C419" s="30" t="n">
        <x:f>INDEX('Matrix'!$C$6:$P$35,MATCH(A419,'Matrix'!$A$6:$A$35,0),MATCH(B419,'Matrix'!$C$4:$P$4,0))</x:f>
        <x:v>2</x:v>
      </x:c>
      <x:c r="D419" s="22" t="str">
        <x:v>Reuse and extensibility</x:v>
      </x:c>
      <x:c r="E419" s="22" t="str">
        <x:v>Agentless</x:v>
      </x:c>
      <x:c r="F419" s="22" t="str">
        <x:v>Small explicit procedure with published repair benchmarks and cost observations.</x:v>
      </x:c>
      <x:c r="G419" s="22" t="str">
        <x:v>Published coverage; analyst judgment</x:v>
      </x:c>
      <x:c r="H419" s="22" t="str">
        <x:v>L1, L2</x:v>
      </x:c>
      <x:c r="I419" s="50" t="str">
        <x:f>INDEX('Sources'!$D$6:$D$66,MATCH("L1",'Sources'!$A$6:$A$66,0))&amp;CHAR(10)&amp;INDEX('Sources'!$D$6:$D$66,MATCH("L2",'Sources'!$A$6:$A$66,0))</x:f>
        <x:v>https://arxiv.org/html/2407.01489
https://github.com/OpenAutoCoder/Agentless</x:v>
      </x:c>
    </x:row>
    <x:row r="420" ht="46.5" customHeight="1">
      <x:c r="A420" s="22" t="str">
        <x:v>F25</x:v>
      </x:c>
      <x:c r="B420" s="22" t="str">
        <x:v>AGENTLESS</x:v>
      </x:c>
      <x:c r="C420" s="30" t="n">
        <x:f>INDEX('Matrix'!$C$6:$P$35,MATCH(A420,'Matrix'!$A$6:$A$35,0),MATCH(B420,'Matrix'!$C$4:$P$4,0))</x:f>
        <x:v>0</x:v>
      </x:c>
      <x:c r="D420" s="22" t="str">
        <x:v>Process use beyond software</x:v>
      </x:c>
      <x:c r="E420" s="22" t="str">
        <x:v>Agentless</x:v>
      </x:c>
      <x:c r="F420" s="22" t="str">
        <x:v>Published process is restricted to repository repair.</x:v>
      </x:c>
      <x:c r="G420" s="22" t="str">
        <x:v>Published coverage; analyst judgment</x:v>
      </x:c>
      <x:c r="H420" s="22" t="str">
        <x:v>L1, L2</x:v>
      </x:c>
      <x:c r="I420" s="50" t="str">
        <x:f>INDEX('Sources'!$D$6:$D$66,MATCH("L1",'Sources'!$A$6:$A$66,0))&amp;CHAR(10)&amp;INDEX('Sources'!$D$6:$D$66,MATCH("L2",'Sources'!$A$6:$A$66,0))</x:f>
        <x:v>https://arxiv.org/html/2407.01489
https://github.com/OpenAutoCoder/Agentless</x:v>
      </x:c>
    </x:row>
    <x:row r="421" ht="46.5" customHeight="1">
      <x:c r="A421" s="22" t="str">
        <x:v>F26</x:v>
      </x:c>
      <x:c r="B421" s="22" t="str">
        <x:v>AGENTLESS</x:v>
      </x:c>
      <x:c r="C421" s="30" t="str">
        <x:f>INDEX('Matrix'!$C$6:$P$35,MATCH(A421,'Matrix'!$A$6:$A$35,0),MATCH(B421,'Matrix'!$C$4:$P$4,0))</x:f>
        <x:v>U</x:v>
      </x:c>
      <x:c r="D421" s="22" t="str">
        <x:v>Self-application</x:v>
      </x:c>
      <x:c r="E421" s="22" t="str">
        <x:v>Agentless</x:v>
      </x:c>
      <x:c r="F421" s="22" t="str">
        <x:v>Inspected sources do not establish method self-application.</x:v>
      </x:c>
      <x:c r="G421" s="22" t="str">
        <x:v>Published coverage; analyst judgment</x:v>
      </x:c>
      <x:c r="H421" s="22" t="str">
        <x:v>L1, L2</x:v>
      </x:c>
      <x:c r="I421" s="50" t="str">
        <x:f>INDEX('Sources'!$D$6:$D$66,MATCH("L1",'Sources'!$A$6:$A$66,0))&amp;CHAR(10)&amp;INDEX('Sources'!$D$6:$D$66,MATCH("L2",'Sources'!$A$6:$A$66,0))</x:f>
        <x:v>https://arxiv.org/html/2407.01489
https://github.com/OpenAutoCoder/Agentless</x:v>
      </x:c>
    </x:row>
    <x:row r="422" ht="46.5" customHeight="1">
      <x:c r="A422" s="22" t="str">
        <x:v>F27</x:v>
      </x:c>
      <x:c r="B422" s="22" t="str">
        <x:v>AGENTLESS</x:v>
      </x:c>
      <x:c r="C422" s="30" t="n">
        <x:f>INDEX('Matrix'!$C$6:$P$35,MATCH(A422,'Matrix'!$A$6:$A$35,0),MATCH(B422,'Matrix'!$C$4:$P$4,0))</x:f>
        <x:v>1</x:v>
      </x:c>
      <x:c r="D422" s="22" t="str">
        <x:v>AI-native method representation</x:v>
      </x:c>
      <x:c r="E422" s="22" t="str">
        <x:v>Agentless</x:v>
      </x:c>
      <x:c r="F422" s="22" t="str">
        <x:v>Small explicit procedure with published repair benchmarks and cost observations.</x:v>
      </x:c>
      <x:c r="G422" s="22" t="str">
        <x:v>Published coverage; analyst judgment</x:v>
      </x:c>
      <x:c r="H422" s="22" t="str">
        <x:v>L1, L2</x:v>
      </x:c>
      <x:c r="I422" s="50" t="str">
        <x:f>INDEX('Sources'!$D$6:$D$66,MATCH("L1",'Sources'!$A$6:$A$66,0))&amp;CHAR(10)&amp;INDEX('Sources'!$D$6:$D$66,MATCH("L2",'Sources'!$A$6:$A$66,0))</x:f>
        <x:v>https://arxiv.org/html/2407.01489
https://github.com/OpenAutoCoder/Agentless</x:v>
      </x:c>
    </x:row>
    <x:row r="423" ht="46.5" customHeight="1">
      <x:c r="A423" s="22" t="str">
        <x:v>F28</x:v>
      </x:c>
      <x:c r="B423" s="22" t="str">
        <x:v>AGENTLESS</x:v>
      </x:c>
      <x:c r="C423" s="30" t="n">
        <x:f>INDEX('Matrix'!$C$6:$P$35,MATCH(A423,'Matrix'!$A$6:$A$35,0),MATCH(B423,'Matrix'!$C$4:$P$4,0))</x:f>
        <x:v>2</x:v>
      </x:c>
      <x:c r="D423" s="22" t="str">
        <x:v>Onboarding and reader guidance</x:v>
      </x:c>
      <x:c r="E423" s="22" t="str">
        <x:v>Agentless</x:v>
      </x:c>
      <x:c r="F423" s="22" t="str">
        <x:v>Small explicit procedure with published repair benchmarks and cost observations.</x:v>
      </x:c>
      <x:c r="G423" s="22" t="str">
        <x:v>Published coverage; analyst judgment</x:v>
      </x:c>
      <x:c r="H423" s="22" t="str">
        <x:v>L1, L2</x:v>
      </x:c>
      <x:c r="I423" s="50" t="str">
        <x:f>INDEX('Sources'!$D$6:$D$66,MATCH("L1",'Sources'!$A$6:$A$66,0))&amp;CHAR(10)&amp;INDEX('Sources'!$D$6:$D$66,MATCH("L2",'Sources'!$A$6:$A$66,0))</x:f>
        <x:v>https://arxiv.org/html/2407.01489
https://github.com/OpenAutoCoder/Agentless</x:v>
      </x:c>
    </x:row>
    <x:row r="424" ht="46.5" customHeight="1">
      <x:c r="A424" s="22" t="str">
        <x:v>F29</x:v>
      </x:c>
      <x:c r="B424" s="22" t="str">
        <x:v>AGENTLESS</x:v>
      </x:c>
      <x:c r="C424" s="30" t="n">
        <x:f>INDEX('Matrix'!$C$6:$P$35,MATCH(A424,'Matrix'!$A$6:$A$35,0),MATCH(B424,'Matrix'!$C$4:$P$4,0))</x:f>
        <x:v>2</x:v>
      </x:c>
      <x:c r="D424" s="22" t="str">
        <x:v>Evidence of effectiveness</x:v>
      </x:c>
      <x:c r="E424" s="22" t="str">
        <x:v>Agentless</x:v>
      </x:c>
      <x:c r="F424" s="22" t="str">
        <x:v>Reported SWE-bench results are scoped repair evidence, not lifecycle qualification.</x:v>
      </x:c>
      <x:c r="G424" s="22" t="str">
        <x:v>Published coverage; analyst judgment</x:v>
      </x:c>
      <x:c r="H424" s="22" t="str">
        <x:v>L1, L2</x:v>
      </x:c>
      <x:c r="I424" s="50" t="str">
        <x:f>INDEX('Sources'!$D$6:$D$66,MATCH("L1",'Sources'!$A$6:$A$66,0))&amp;CHAR(10)&amp;INDEX('Sources'!$D$6:$D$66,MATCH("L2",'Sources'!$A$6:$A$66,0))</x:f>
        <x:v>https://arxiv.org/html/2407.01489
https://github.com/OpenAutoCoder/Agentless</x:v>
      </x:c>
    </x:row>
    <x:row r="425" ht="46.5" customHeight="1">
      <x:c r="A425" s="23" t="str">
        <x:v>F30</x:v>
      </x:c>
      <x:c r="B425" s="23" t="str">
        <x:v>AGENTLESS</x:v>
      </x:c>
      <x:c r="C425" s="31" t="n">
        <x:f>INDEX('Matrix'!$C$6:$P$35,MATCH(A425,'Matrix'!$A$6:$A$35,0),MATCH(B425,'Matrix'!$C$4:$P$4,0))</x:f>
        <x:v>3</x:v>
      </x:c>
      <x:c r="D425" s="23" t="str">
        <x:v>Work and resource measurement</x:v>
      </x:c>
      <x:c r="E425" s="23" t="str">
        <x:v>Agentless</x:v>
      </x:c>
      <x:c r="F425" s="23" t="str">
        <x:v>Paper reports per-repair costs on a declared benchmark.</x:v>
      </x:c>
      <x:c r="G425" s="23" t="str">
        <x:v>Published coverage; analyst judgment</x:v>
      </x:c>
      <x:c r="H425" s="23" t="str">
        <x:v>L1, L2</x:v>
      </x:c>
      <x:c r="I425" s="51" t="str">
        <x:f>INDEX('Sources'!$D$6:$D$66,MATCH("L1",'Sources'!$A$6:$A$66,0))&amp;CHAR(10)&amp;INDEX('Sources'!$D$6:$D$66,MATCH("L2",'Sources'!$A$6:$A$66,0))</x:f>
        <x:v>https://arxiv.org/html/2407.01489
https://github.com/OpenAutoCoder/Agentless</x:v>
      </x:c>
    </x:row>
  </x:sheetData>
  <x:pageMargins left="0.7" right="0.7" top="0.75" bottom="0.75" header="0.3" footer="0.3"/>
  <x:tableParts count="1">
    <x:tablePart xmlns:r="http://schemas.openxmlformats.org/officeDocument/2006/relationships" r:id="Ra38dad8197e44e2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9.109999656677246" hidden="0" customWidth="1"/>
    <x:col min="2" max="2" width="19.780000686645508" hidden="0" customWidth="1"/>
    <x:col min="3" max="3" width="37.11000061035156" hidden="0" customWidth="1"/>
    <x:col min="4" max="4" width="77.44000244140625" hidden="0" customWidth="1"/>
    <x:col min="5" max="5" width="70.77999877929688" hidden="0" customWidth="1"/>
    <x:col min="6" max="6" width="13.890000343322754" hidden="0" customWidth="1"/>
  </x:cols>
  <x:sheetData>
    <x:row r="1" ht="23.25" customHeight="1">
      <x:c r="A1" s="7" t="str">
        <x:v>Sources</x:v>
      </x:c>
      <x:c r="B1" s="8"/>
      <x:c r="C1" s="8"/>
      <x:c r="D1" s="8"/>
      <x:c r="E1" s="8"/>
      <x:c r="F1" s="8"/>
    </x:row>
    <x:row r="2" ht="18" customHeight="1">
      <x:c r="A2" s="9" t="str">
        <x:v>Primary source register. Access date: 2026-10-06.</x:v>
      </x:c>
      <x:c r="B2" s="6"/>
      <x:c r="C2" s="6"/>
      <x:c r="D2" s="6"/>
      <x:c r="E2" s="6"/>
      <x:c r="F2" s="6"/>
    </x:row>
    <x:row r="3" ht="18" customHeight="1">
      <x:c r="A3" s="6" t="str">
        <x:v>Source IDs connect Candidates and Evidence to these editable URLs. STDO authority routes identify the verified release cut.</x:v>
      </x:c>
      <x:c r="B3" s="6"/>
      <x:c r="C3" s="6"/>
      <x:c r="D3" s="6"/>
      <x:c r="E3" s="6"/>
      <x:c r="F3" s="6"/>
    </x:row>
    <x:row r="4" ht="16.5" customHeight="1">
      <x:c r="A4" s="3"/>
      <x:c r="B4" s="3"/>
      <x:c r="C4" s="3"/>
      <x:c r="D4" s="3"/>
      <x:c r="E4" s="3"/>
      <x:c r="F4" s="3"/>
    </x:row>
    <x:row r="5" ht="42" customHeight="1">
      <x:c r="A5" s="18" t="str">
        <x:v>Source ID</x:v>
      </x:c>
      <x:c r="B5" s="19" t="str">
        <x:v>Publisher</x:v>
      </x:c>
      <x:c r="C5" s="19" t="str">
        <x:v>Title</x:v>
      </x:c>
      <x:c r="D5" s="19" t="str">
        <x:v>URL</x:v>
      </x:c>
      <x:c r="E5" s="19" t="str">
        <x:v>Source basis / cut</x:v>
      </x:c>
      <x:c r="F5" s="20" t="str">
        <x:v>Accessed</x:v>
      </x:c>
    </x:row>
    <x:row r="6" ht="40.5" customHeight="1">
      <x:c r="A6" s="21" t="str">
        <x:v>SS</x:v>
      </x:c>
      <x:c r="B6" s="21" t="str">
        <x:v>STDO</x:v>
      </x:c>
      <x:c r="C6" s="21" t="str">
        <x:v>SPEC_METHOD</x:v>
      </x:c>
      <x:c r="D6" s="49" t="str">
        <x:v>stdo://releases/v2.5.1-rc.2/standards/SPEC_METHOD.md</x:v>
      </x:c>
      <x:c r="E6" s="21" t="str">
        <x:v>Locally verified complete STDO 2.5.1 RC2; manifest 3d860ff4c1746f06ac25295a9e205cffb8e7725869615ac77cf2304b70ff2782</x:v>
      </x:c>
      <x:c r="F6" s="52" t="n">
        <x:v>46301</x:v>
      </x:c>
    </x:row>
    <x:row r="7" ht="40.5" customHeight="1">
      <x:c r="A7" s="22" t="str">
        <x:v>SD</x:v>
      </x:c>
      <x:c r="B7" s="22" t="str">
        <x:v>STDO</x:v>
      </x:c>
      <x:c r="C7" s="22" t="str">
        <x:v>DESIGN_MODULE_METHOD</x:v>
      </x:c>
      <x:c r="D7" s="50" t="str">
        <x:v>stdo://releases/v2.5.1-rc.2/standards/DESIGN_MODULE_METHOD.md</x:v>
      </x:c>
      <x:c r="E7" s="22" t="str">
        <x:v>Locally verified complete STDO 2.5.1 RC2; manifest 3d860ff4c1746f06ac25295a9e205cffb8e7725869615ac77cf2304b70ff2782</x:v>
      </x:c>
      <x:c r="F7" s="53" t="n">
        <x:v>46301</x:v>
      </x:c>
    </x:row>
    <x:row r="8" ht="40.5" customHeight="1">
      <x:c r="A8" s="22" t="str">
        <x:v>SF</x:v>
      </x:c>
      <x:c r="B8" s="22" t="str">
        <x:v>STDO</x:v>
      </x:c>
      <x:c r="C8" s="22" t="str">
        <x:v>REFERENCE_FRAME_METHOD</x:v>
      </x:c>
      <x:c r="D8" s="50" t="str">
        <x:v>stdo://releases/v2.5.1-rc.2/standards/REFERENCE_FRAME_METHOD.md</x:v>
      </x:c>
      <x:c r="E8" s="22" t="str">
        <x:v>Locally verified complete STDO 2.5.1 RC2; manifest 3d860ff4c1746f06ac25295a9e205cffb8e7725869615ac77cf2304b70ff2782</x:v>
      </x:c>
      <x:c r="F8" s="53" t="n">
        <x:v>46301</x:v>
      </x:c>
    </x:row>
    <x:row r="9" ht="40.5" customHeight="1">
      <x:c r="A9" s="22" t="str">
        <x:v>SA</x:v>
      </x:c>
      <x:c r="B9" s="22" t="str">
        <x:v>STDO</x:v>
      </x:c>
      <x:c r="C9" s="22" t="str">
        <x:v>AXIOMATIC_CALCULUS</x:v>
      </x:c>
      <x:c r="D9" s="50" t="str">
        <x:v>stdo://releases/v2.5.1-rc.2/standards/AXIOMATIC_CALCULUS.md</x:v>
      </x:c>
      <x:c r="E9" s="22" t="str">
        <x:v>Locally verified complete STDO 2.5.1 RC2; manifest 3d860ff4c1746f06ac25295a9e205cffb8e7725869615ac77cf2304b70ff2782</x:v>
      </x:c>
      <x:c r="F9" s="53" t="n">
        <x:v>46301</x:v>
      </x:c>
    </x:row>
    <x:row r="10" ht="40.5" customHeight="1">
      <x:c r="A10" s="22" t="str">
        <x:v>SB</x:v>
      </x:c>
      <x:c r="B10" s="22" t="str">
        <x:v>STDO</x:v>
      </x:c>
      <x:c r="C10" s="22" t="str">
        <x:v>STDO_REFERENCE_FRAME_BASELINE</x:v>
      </x:c>
      <x:c r="D10" s="50" t="str">
        <x:v>stdo://releases/v2.5.1-rc.2/standards/STDO_REFERENCE_FRAME_BASELINE.md</x:v>
      </x:c>
      <x:c r="E10" s="22" t="str">
        <x:v>Locally verified complete STDO 2.5.1 RC2; manifest 3d860ff4c1746f06ac25295a9e205cffb8e7725869615ac77cf2304b70ff2782</x:v>
      </x:c>
      <x:c r="F10" s="53" t="n">
        <x:v>46301</x:v>
      </x:c>
    </x:row>
    <x:row r="11" ht="40.5" customHeight="1">
      <x:c r="A11" s="22" t="str">
        <x:v>ST</x:v>
      </x:c>
      <x:c r="B11" s="22" t="str">
        <x:v>STDO</x:v>
      </x:c>
      <x:c r="C11" s="22" t="str">
        <x:v>TICKET_METHOD</x:v>
      </x:c>
      <x:c r="D11" s="50" t="str">
        <x:v>stdo://releases/v2.5.1-rc.2/standards/TICKET_METHOD.md</x:v>
      </x:c>
      <x:c r="E11" s="22" t="str">
        <x:v>Locally verified complete STDO 2.5.1 RC2; manifest 3d860ff4c1746f06ac25295a9e205cffb8e7725869615ac77cf2304b70ff2782</x:v>
      </x:c>
      <x:c r="F11" s="53" t="n">
        <x:v>46301</x:v>
      </x:c>
    </x:row>
    <x:row r="12" ht="40.5" customHeight="1">
      <x:c r="A12" s="22" t="str">
        <x:v>SR</x:v>
      </x:c>
      <x:c r="B12" s="22" t="str">
        <x:v>STDO</x:v>
      </x:c>
      <x:c r="C12" s="22" t="str">
        <x:v>RELEASE_METHOD</x:v>
      </x:c>
      <x:c r="D12" s="50" t="str">
        <x:v>stdo://releases/v2.5.1-rc.2/standards/RELEASE_METHOD.md</x:v>
      </x:c>
      <x:c r="E12" s="22" t="str">
        <x:v>Locally verified complete STDO 2.5.1 RC2; manifest 3d860ff4c1746f06ac25295a9e205cffb8e7725869615ac77cf2304b70ff2782</x:v>
      </x:c>
      <x:c r="F12" s="53" t="n">
        <x:v>46301</x:v>
      </x:c>
    </x:row>
    <x:row r="13" ht="40.5" customHeight="1">
      <x:c r="A13" s="22" t="str">
        <x:v>SW</x:v>
      </x:c>
      <x:c r="B13" s="22" t="str">
        <x:v>STDO</x:v>
      </x:c>
      <x:c r="C13" s="22" t="str">
        <x:v>WRITING_GUIDE</x:v>
      </x:c>
      <x:c r="D13" s="50" t="str">
        <x:v>stdo://releases/v2.5.1-rc.2/standards/WRITING_GUIDE.md</x:v>
      </x:c>
      <x:c r="E13" s="22" t="str">
        <x:v>Locally verified complete STDO 2.5.1 RC2; manifest 3d860ff4c1746f06ac25295a9e205cffb8e7725869615ac77cf2304b70ff2782</x:v>
      </x:c>
      <x:c r="F13" s="53" t="n">
        <x:v>46301</x:v>
      </x:c>
    </x:row>
    <x:row r="14" ht="40.5" customHeight="1">
      <x:c r="A14" s="22" t="str">
        <x:v>SM</x:v>
      </x:c>
      <x:c r="B14" s="22" t="str">
        <x:v>STDO Representation</x:v>
      </x:c>
      <x:c r="C14" s="22" t="str">
        <x:v>a_c.STDO RC2 program</x:v>
      </x:c>
      <x:c r="D14" s="50" t="str">
        <x:v>Local STDO Representation: stdo-v2.5.1-rc.2/axiomatic-program.json</x:v>
      </x:c>
      <x:c r="E14" s="22" t="str">
        <x:v>Inspected source program: 31 symbols, 116 clauses, 13 residuals, 6 frame indexes</x:v>
      </x:c>
      <x:c r="F14" s="53" t="n">
        <x:v>46301</x:v>
      </x:c>
    </x:row>
    <x:row r="15" ht="40.5" customHeight="1">
      <x:c r="A15" s="22" t="str">
        <x:v>SQ</x:v>
      </x:c>
      <x:c r="B15" s="22" t="str">
        <x:v>STDO source project</x:v>
      </x:c>
      <x:c r="C15" s="22" t="str">
        <x:v>Current Goals and retained native outcomes</x:v>
      </x:c>
      <x:c r="D15" s="50" t="str">
        <x:v>STDO source project: specification/GOALS.md</x:v>
      </x:c>
      <x:c r="E15" s="22" t="str">
        <x:v>Workspace record read 2026-10-06; bounded qualification records, not an independent rerun</x:v>
      </x:c>
      <x:c r="F15" s="53" t="n">
        <x:v>46301</x:v>
      </x:c>
    </x:row>
    <x:row r="16" ht="40.5" customHeight="1">
      <x:c r="A16" s="22" t="str">
        <x:v>S3</x:v>
      </x:c>
      <x:c r="B16" s="22" t="str">
        <x:v>Jim / STDO</x:v>
      </x:c>
      <x:c r="C16" s="22" t="str">
        <x:v>STDO 3.0 working Product definition</x:v>
      </x:c>
      <x:c r="D16" s="50" t="str">
        <x:v>Working post: 20261006T010215Z_STRATEGY_STDO_3_0_WORKING_PRODUCT_DEFINITION.md</x:v>
      </x:c>
      <x:c r="E16" s="22" t="str">
        <x:v>Draft target; includes Codex structure proposal for discussion</x:v>
      </x:c>
      <x:c r="F16" s="53" t="n">
        <x:v>46301</x:v>
      </x:c>
    </x:row>
    <x:row r="17" ht="40.5" customHeight="1">
      <x:c r="A17" s="22" t="str">
        <x:v>O1</x:v>
      </x:c>
      <x:c r="B17" s="22" t="str">
        <x:v>OpenAI</x:v>
      </x:c>
      <x:c r="C17" s="22" t="str">
        <x:v>Long-horizon Codex work</x:v>
      </x:c>
      <x:c r="D17" s="50" t="str">
        <x:v>https://developers.openai.com/blog/run-long-horizon-tasks-with-codex</x:v>
      </x:c>
      <x:c r="E17" s="22" t="str">
        <x:v>Current documentation, accessed 2026-10-06</x:v>
      </x:c>
      <x:c r="F17" s="53" t="n">
        <x:v>46301</x:v>
      </x:c>
    </x:row>
    <x:row r="18" ht="40.5" customHeight="1">
      <x:c r="A18" s="22" t="str">
        <x:v>O2</x:v>
      </x:c>
      <x:c r="B18" s="22" t="str">
        <x:v>OpenAI</x:v>
      </x:c>
      <x:c r="C18" s="22" t="str">
        <x:v>Using Goals in Codex</x:v>
      </x:c>
      <x:c r="D18" s="50" t="str">
        <x:v>https://developers.openai.com/cookbook/examples/codex/using_goals_in_codex</x:v>
      </x:c>
      <x:c r="E18" s="22" t="str">
        <x:v>Current documentation, accessed 2026-10-06</x:v>
      </x:c>
      <x:c r="F18" s="53" t="n">
        <x:v>46301</x:v>
      </x:c>
    </x:row>
    <x:row r="19" ht="40.5" customHeight="1">
      <x:c r="A19" s="22" t="str">
        <x:v>O3</x:v>
      </x:c>
      <x:c r="B19" s="22" t="str">
        <x:v>OpenAI</x:v>
      </x:c>
      <x:c r="C19" s="22" t="str">
        <x:v>AGENTS.md instructions</x:v>
      </x:c>
      <x:c r="D19" s="50" t="str">
        <x:v>https://learn.chatgpt.com/docs/agent-configuration/agents-md</x:v>
      </x:c>
      <x:c r="E19" s="22" t="str">
        <x:v>Current documentation, accessed 2026-10-06</x:v>
      </x:c>
      <x:c r="F19" s="53" t="n">
        <x:v>46301</x:v>
      </x:c>
    </x:row>
    <x:row r="20" ht="40.5" customHeight="1">
      <x:c r="A20" s="22" t="str">
        <x:v>O4</x:v>
      </x:c>
      <x:c r="B20" s="22" t="str">
        <x:v>OpenAI</x:v>
      </x:c>
      <x:c r="C20" s="22" t="str">
        <x:v>Code review</x:v>
      </x:c>
      <x:c r="D20" s="50" t="str">
        <x:v>https://learn.chatgpt.com/docs/code-review</x:v>
      </x:c>
      <x:c r="E20" s="22" t="str">
        <x:v>Current documentation, accessed 2026-10-06</x:v>
      </x:c>
      <x:c r="F20" s="53" t="n">
        <x:v>46301</x:v>
      </x:c>
    </x:row>
    <x:row r="21" ht="40.5" customHeight="1">
      <x:c r="A21" s="22" t="str">
        <x:v>O5</x:v>
      </x:c>
      <x:c r="B21" s="22" t="str">
        <x:v>OpenAI</x:v>
      </x:c>
      <x:c r="C21" s="22" t="str">
        <x:v>Approvals and security</x:v>
      </x:c>
      <x:c r="D21" s="50" t="str">
        <x:v>https://learn.chatgpt.com/docs/agent-approvals-security</x:v>
      </x:c>
      <x:c r="E21" s="22" t="str">
        <x:v>Current documentation, accessed 2026-10-06</x:v>
      </x:c>
      <x:c r="F21" s="53" t="n">
        <x:v>46301</x:v>
      </x:c>
    </x:row>
    <x:row r="22" ht="40.5" customHeight="1">
      <x:c r="A22" s="22" t="str">
        <x:v>A1</x:v>
      </x:c>
      <x:c r="B22" s="22" t="str">
        <x:v>Anthropic</x:v>
      </x:c>
      <x:c r="C22" s="22" t="str">
        <x:v>Claude Code best practices</x:v>
      </x:c>
      <x:c r="D22" s="50" t="str">
        <x:v>https://code.claude.com/docs/en/best-practices</x:v>
      </x:c>
      <x:c r="E22" s="22" t="str">
        <x:v>Current documentation, accessed 2026-10-06</x:v>
      </x:c>
      <x:c r="F22" s="53" t="n">
        <x:v>46301</x:v>
      </x:c>
    </x:row>
    <x:row r="23" ht="40.5" customHeight="1">
      <x:c r="A23" s="22" t="str">
        <x:v>A2</x:v>
      </x:c>
      <x:c r="B23" s="22" t="str">
        <x:v>Anthropic</x:v>
      </x:c>
      <x:c r="C23" s="22" t="str">
        <x:v>Claude Code execution loop</x:v>
      </x:c>
      <x:c r="D23" s="50" t="str">
        <x:v>https://code.claude.com/docs/en/how-claude-code-works</x:v>
      </x:c>
      <x:c r="E23" s="22" t="str">
        <x:v>Current documentation, accessed 2026-10-06</x:v>
      </x:c>
      <x:c r="F23" s="53" t="n">
        <x:v>46301</x:v>
      </x:c>
    </x:row>
    <x:row r="24" ht="40.5" customHeight="1">
      <x:c r="A24" s="22" t="str">
        <x:v>A3</x:v>
      </x:c>
      <x:c r="B24" s="22" t="str">
        <x:v>Anthropic</x:v>
      </x:c>
      <x:c r="C24" s="22" t="str">
        <x:v>Project memory</x:v>
      </x:c>
      <x:c r="D24" s="50" t="str">
        <x:v>https://code.claude.com/docs/en/memory</x:v>
      </x:c>
      <x:c r="E24" s="22" t="str">
        <x:v>Current documentation, accessed 2026-10-06</x:v>
      </x:c>
      <x:c r="F24" s="53" t="n">
        <x:v>46301</x:v>
      </x:c>
    </x:row>
    <x:row r="25" ht="40.5" customHeight="1">
      <x:c r="A25" s="22" t="str">
        <x:v>A4</x:v>
      </x:c>
      <x:c r="B25" s="22" t="str">
        <x:v>Anthropic</x:v>
      </x:c>
      <x:c r="C25" s="22" t="str">
        <x:v>Permissions</x:v>
      </x:c>
      <x:c r="D25" s="50" t="str">
        <x:v>https://code.claude.com/docs/en/permissions</x:v>
      </x:c>
      <x:c r="E25" s="22" t="str">
        <x:v>Current documentation, accessed 2026-10-06</x:v>
      </x:c>
      <x:c r="F25" s="53" t="n">
        <x:v>46301</x:v>
      </x:c>
    </x:row>
    <x:row r="26" ht="40.5" customHeight="1">
      <x:c r="A26" s="22" t="str">
        <x:v>A5</x:v>
      </x:c>
      <x:c r="B26" s="22" t="str">
        <x:v>Anthropic</x:v>
      </x:c>
      <x:c r="C26" s="22" t="str">
        <x:v>Custom subagents</x:v>
      </x:c>
      <x:c r="D26" s="50" t="str">
        <x:v>https://code.claude.com/docs/en/sub-agents</x:v>
      </x:c>
      <x:c r="E26" s="22" t="str">
        <x:v>Current documentation, accessed 2026-10-06</x:v>
      </x:c>
      <x:c r="F26" s="53" t="n">
        <x:v>46301</x:v>
      </x:c>
    </x:row>
    <x:row r="27" ht="40.5" customHeight="1">
      <x:c r="A27" s="22" t="str">
        <x:v>G1</x:v>
      </x:c>
      <x:c r="B27" s="22" t="str">
        <x:v>Google</x:v>
      </x:c>
      <x:c r="C27" s="22" t="str">
        <x:v>Antigravity CLI practices</x:v>
      </x:c>
      <x:c r="D27" s="50" t="str">
        <x:v>https://antigravity.google/docs/cli/best-practices/</x:v>
      </x:c>
      <x:c r="E27" s="22" t="str">
        <x:v>Current documentation, accessed 2026-10-06</x:v>
      </x:c>
      <x:c r="F27" s="53" t="n">
        <x:v>46301</x:v>
      </x:c>
    </x:row>
    <x:row r="28" ht="40.5" customHeight="1">
      <x:c r="A28" s="22" t="str">
        <x:v>G2</x:v>
      </x:c>
      <x:c r="B28" s="22" t="str">
        <x:v>Google</x:v>
      </x:c>
      <x:c r="C28" s="22" t="str">
        <x:v>Artifact review</x:v>
      </x:c>
      <x:c r="D28" s="50" t="str">
        <x:v>https://antigravity.google/docs/artifact-review</x:v>
      </x:c>
      <x:c r="E28" s="22" t="str">
        <x:v>Current documentation, accessed 2026-10-06</x:v>
      </x:c>
      <x:c r="F28" s="53" t="n">
        <x:v>46301</x:v>
      </x:c>
    </x:row>
    <x:row r="29" ht="40.5" customHeight="1">
      <x:c r="A29" s="22" t="str">
        <x:v>G3</x:v>
      </x:c>
      <x:c r="B29" s="22" t="str">
        <x:v>Google</x:v>
      </x:c>
      <x:c r="C29" s="22" t="str">
        <x:v>Custom subagents</x:v>
      </x:c>
      <x:c r="D29" s="50" t="str">
        <x:v>https://antigravity.google/docs/subagents/</x:v>
      </x:c>
      <x:c r="E29" s="22" t="str">
        <x:v>Current documentation, accessed 2026-10-06</x:v>
      </x:c>
      <x:c r="F29" s="53" t="n">
        <x:v>46301</x:v>
      </x:c>
    </x:row>
    <x:row r="30" ht="40.5" customHeight="1">
      <x:c r="A30" s="22" t="str">
        <x:v>G4</x:v>
      </x:c>
      <x:c r="B30" s="22" t="str">
        <x:v>Google</x:v>
      </x:c>
      <x:c r="C30" s="22" t="str">
        <x:v>Agent settings</x:v>
      </x:c>
      <x:c r="D30" s="50" t="str">
        <x:v>https://antigravity.google/docs/agent-settings</x:v>
      </x:c>
      <x:c r="E30" s="22" t="str">
        <x:v>Current documentation, accessed 2026-10-06</x:v>
      </x:c>
      <x:c r="F30" s="53" t="n">
        <x:v>46301</x:v>
      </x:c>
    </x:row>
    <x:row r="31" ht="40.5" customHeight="1">
      <x:c r="A31" s="22" t="str">
        <x:v>K1</x:v>
      </x:c>
      <x:c r="B31" s="22" t="str">
        <x:v>GitHub / Microsoft</x:v>
      </x:c>
      <x:c r="C31" s="22" t="str">
        <x:v>Spec Kit quickstart</x:v>
      </x:c>
      <x:c r="D31" s="50" t="str">
        <x:v>https://github.github.com/spec-kit/quickstart.html</x:v>
      </x:c>
      <x:c r="E31" s="22" t="str">
        <x:v>Current documentation, accessed 2026-10-06</x:v>
      </x:c>
      <x:c r="F31" s="53" t="n">
        <x:v>46301</x:v>
      </x:c>
    </x:row>
    <x:row r="32" ht="40.5" customHeight="1">
      <x:c r="A32" s="22" t="str">
        <x:v>K2</x:v>
      </x:c>
      <x:c r="B32" s="22" t="str">
        <x:v>GitHub / Microsoft</x:v>
      </x:c>
      <x:c r="C32" s="22" t="str">
        <x:v>Workflow reference</x:v>
      </x:c>
      <x:c r="D32" s="50" t="str">
        <x:v>https://github.github.com/spec-kit/reference/workflows.html</x:v>
      </x:c>
      <x:c r="E32" s="22" t="str">
        <x:v>Current documentation, accessed 2026-10-06</x:v>
      </x:c>
      <x:c r="F32" s="53" t="n">
        <x:v>46301</x:v>
      </x:c>
    </x:row>
    <x:row r="33" ht="40.5" customHeight="1">
      <x:c r="A33" s="22" t="str">
        <x:v>K3</x:v>
      </x:c>
      <x:c r="B33" s="22" t="str">
        <x:v>GitHub / Microsoft</x:v>
      </x:c>
      <x:c r="C33" s="22" t="str">
        <x:v>Spec Kit develops Spec Kit</x:v>
      </x:c>
      <x:c r="D33" s="50" t="str">
        <x:v>https://github.github.com/spec-kit/guides/agentic-sdlc.html</x:v>
      </x:c>
      <x:c r="E33" s="22" t="str">
        <x:v>Current documentation, accessed 2026-10-06</x:v>
      </x:c>
      <x:c r="F33" s="53" t="n">
        <x:v>46301</x:v>
      </x:c>
    </x:row>
    <x:row r="34" ht="40.5" customHeight="1">
      <x:c r="A34" s="22" t="str">
        <x:v>K4</x:v>
      </x:c>
      <x:c r="B34" s="22" t="str">
        <x:v>GitHub / Microsoft</x:v>
      </x:c>
      <x:c r="C34" s="22" t="str">
        <x:v>Spec Kit overview</x:v>
      </x:c>
      <x:c r="D34" s="50" t="str">
        <x:v>https://github.github.com/spec-kit/</x:v>
      </x:c>
      <x:c r="E34" s="22" t="str">
        <x:v>Current documentation, accessed 2026-10-06</x:v>
      </x:c>
      <x:c r="F34" s="53" t="n">
        <x:v>46301</x:v>
      </x:c>
    </x:row>
    <x:row r="35" ht="40.5" customHeight="1">
      <x:c r="A35" s="22" t="str">
        <x:v>I1</x:v>
      </x:c>
      <x:c r="B35" s="22" t="str">
        <x:v>Amazon / Kiro</x:v>
      </x:c>
      <x:c r="C35" s="22" t="str">
        <x:v>Specs</x:v>
      </x:c>
      <x:c r="D35" s="50" t="str">
        <x:v>https://kiro.dev/docs/specs/</x:v>
      </x:c>
      <x:c r="E35" s="22" t="str">
        <x:v>Current documentation, accessed 2026-10-06</x:v>
      </x:c>
      <x:c r="F35" s="53" t="n">
        <x:v>46301</x:v>
      </x:c>
    </x:row>
    <x:row r="36" ht="40.5" customHeight="1">
      <x:c r="A36" s="22" t="str">
        <x:v>I2</x:v>
      </x:c>
      <x:c r="B36" s="22" t="str">
        <x:v>Amazon / Kiro</x:v>
      </x:c>
      <x:c r="C36" s="22" t="str">
        <x:v>Workflows</x:v>
      </x:c>
      <x:c r="D36" s="50" t="str">
        <x:v>https://kiro.dev/docs/workflows/</x:v>
      </x:c>
      <x:c r="E36" s="22" t="str">
        <x:v>Current documentation, accessed 2026-10-06</x:v>
      </x:c>
      <x:c r="F36" s="53" t="n">
        <x:v>46301</x:v>
      </x:c>
    </x:row>
    <x:row r="37" ht="40.5" customHeight="1">
      <x:c r="A37" s="22" t="str">
        <x:v>I3</x:v>
      </x:c>
      <x:c r="B37" s="22" t="str">
        <x:v>Amazon / Kiro</x:v>
      </x:c>
      <x:c r="C37" s="22" t="str">
        <x:v>Workflow authoring</x:v>
      </x:c>
      <x:c r="D37" s="50" t="str">
        <x:v>https://kiro.dev/docs/workflows/authoring/</x:v>
      </x:c>
      <x:c r="E37" s="22" t="str">
        <x:v>Current documentation, accessed 2026-10-06</x:v>
      </x:c>
      <x:c r="F37" s="53" t="n">
        <x:v>46301</x:v>
      </x:c>
    </x:row>
    <x:row r="38" ht="40.5" customHeight="1">
      <x:c r="A38" s="22" t="str">
        <x:v>B1</x:v>
      </x:c>
      <x:c r="B38" s="22" t="str">
        <x:v>BMad Code</x:v>
      </x:c>
      <x:c r="C38" s="22" t="str">
        <x:v>Requirements and specification</x:v>
      </x:c>
      <x:c r="D38" s="50" t="str">
        <x:v>https://docs.bmad-method.org/plan/define-requirements-and-a-specification/</x:v>
      </x:c>
      <x:c r="E38" s="22" t="str">
        <x:v>Current documentation, accessed 2026-10-06</x:v>
      </x:c>
      <x:c r="F38" s="53" t="n">
        <x:v>46301</x:v>
      </x:c>
    </x:row>
    <x:row r="39" ht="40.5" customHeight="1">
      <x:c r="A39" s="22" t="str">
        <x:v>B2</x:v>
      </x:c>
      <x:c r="B39" s="22" t="str">
        <x:v>BMad Code</x:v>
      </x:c>
      <x:c r="C39" s="22" t="str">
        <x:v>Independent code review and triage</x:v>
      </x:c>
      <x:c r="D39" s="50" t="str">
        <x:v>https://docs.bmad-method.org/build/review-a-change/</x:v>
      </x:c>
      <x:c r="E39" s="22" t="str">
        <x:v>Current documentation, accessed 2026-10-06</x:v>
      </x:c>
      <x:c r="F39" s="53" t="n">
        <x:v>46301</x:v>
      </x:c>
    </x:row>
    <x:row r="40" ht="40.5" customHeight="1">
      <x:c r="A40" s="22" t="str">
        <x:v>B3</x:v>
      </x:c>
      <x:c r="B40" s="22" t="str">
        <x:v>BMad Code</x:v>
      </x:c>
      <x:c r="C40" s="22" t="str">
        <x:v>Project context</x:v>
      </x:c>
      <x:c r="D40" s="50" t="str">
        <x:v>https://docs.bmad-method.org/existing-codebases/set-and-maintain-project-context/</x:v>
      </x:c>
      <x:c r="E40" s="22" t="str">
        <x:v>Current documentation, accessed 2026-10-06</x:v>
      </x:c>
      <x:c r="F40" s="53" t="n">
        <x:v>46301</x:v>
      </x:c>
    </x:row>
    <x:row r="41" ht="40.5" customHeight="1">
      <x:c r="A41" s="22" t="str">
        <x:v>B4</x:v>
      </x:c>
      <x:c r="B41" s="22" t="str">
        <x:v>BMad Code</x:v>
      </x:c>
      <x:c r="C41" s="22" t="str">
        <x:v>Autonomous development loops</x:v>
      </x:c>
      <x:c r="D41" s="50" t="str">
        <x:v>https://docs.bmad-method.org/build/autonomous-development-loops/</x:v>
      </x:c>
      <x:c r="E41" s="22" t="str">
        <x:v>Current documentation, accessed 2026-10-06</x:v>
      </x:c>
      <x:c r="F41" s="53" t="n">
        <x:v>46301</x:v>
      </x:c>
    </x:row>
    <x:row r="42" ht="40.5" customHeight="1">
      <x:c r="A42" s="22" t="str">
        <x:v>B5</x:v>
      </x:c>
      <x:c r="B42" s="22" t="str">
        <x:v>BMad Code</x:v>
      </x:c>
      <x:c r="C42" s="22" t="str">
        <x:v>Workflow map</x:v>
      </x:c>
      <x:c r="D42" s="50" t="str">
        <x:v>https://docs.bmad-method.org/workflow-map-diagram.html</x:v>
      </x:c>
      <x:c r="E42" s="22" t="str">
        <x:v>Current documentation, accessed 2026-10-06</x:v>
      </x:c>
      <x:c r="F42" s="53" t="n">
        <x:v>46301</x:v>
      </x:c>
    </x:row>
    <x:row r="43" ht="40.5" customHeight="1">
      <x:c r="A43" s="22" t="str">
        <x:v>P1</x:v>
      </x:c>
      <x:c r="B43" s="22" t="str">
        <x:v>Fission AI</x:v>
      </x:c>
      <x:c r="C43" s="22" t="str">
        <x:v>OpenSpec overview</x:v>
      </x:c>
      <x:c r="D43" s="50" t="str">
        <x:v>https://openspec.dev/</x:v>
      </x:c>
      <x:c r="E43" s="22" t="str">
        <x:v>Current documentation, accessed 2026-10-06</x:v>
      </x:c>
      <x:c r="F43" s="53" t="n">
        <x:v>46301</x:v>
      </x:c>
    </x:row>
    <x:row r="44" ht="40.5" customHeight="1">
      <x:c r="A44" s="22" t="str">
        <x:v>P2</x:v>
      </x:c>
      <x:c r="B44" s="22" t="str">
        <x:v>Fission AI</x:v>
      </x:c>
      <x:c r="C44" s="22" t="str">
        <x:v>OpenSpec README and self-use</x:v>
      </x:c>
      <x:c r="D44" s="50" t="str">
        <x:v>https://github.com/Fission-AI/OpenSpec</x:v>
      </x:c>
      <x:c r="E44" s="22" t="str">
        <x:v>Current documentation, accessed 2026-10-06</x:v>
      </x:c>
      <x:c r="F44" s="53" t="n">
        <x:v>46301</x:v>
      </x:c>
    </x:row>
    <x:row r="45" ht="40.5" customHeight="1">
      <x:c r="A45" s="22" t="str">
        <x:v>P3</x:v>
      </x:c>
      <x:c r="B45" s="22" t="str">
        <x:v>Fission AI</x:v>
      </x:c>
      <x:c r="C45" s="22" t="str">
        <x:v>OPSX artifact-guided workflow</x:v>
      </x:c>
      <x:c r="D45" s="50" t="str">
        <x:v>https://raw.githubusercontent.com/Fission-AI/OpenSpec/main/docs/opsx.md</x:v>
      </x:c>
      <x:c r="E45" s="22" t="str">
        <x:v>Current documentation, accessed 2026-10-06</x:v>
      </x:c>
      <x:c r="F45" s="53" t="n">
        <x:v>46301</x:v>
      </x:c>
    </x:row>
    <x:row r="46" ht="40.5" customHeight="1">
      <x:c r="A46" s="22" t="str">
        <x:v>P4</x:v>
      </x:c>
      <x:c r="B46" s="22" t="str">
        <x:v>Fission AI</x:v>
      </x:c>
      <x:c r="C46" s="22" t="str">
        <x:v>Workflow modes and artifact lifecycle</x:v>
      </x:c>
      <x:c r="D46" s="50" t="str">
        <x:v>https://raw.githubusercontent.com/Fission-AI/OpenSpec/main/docs/workflows.md</x:v>
      </x:c>
      <x:c r="E46" s="22" t="str">
        <x:v>Current documentation, accessed 2026-10-06</x:v>
      </x:c>
      <x:c r="F46" s="53" t="n">
        <x:v>46301</x:v>
      </x:c>
    </x:row>
    <x:row r="47" ht="40.5" customHeight="1">
      <x:c r="A47" s="22" t="str">
        <x:v>Q1</x:v>
      </x:c>
      <x:c r="B47" s="22" t="str">
        <x:v>Alibaba / Qwen</x:v>
      </x:c>
      <x:c r="C47" s="22" t="str">
        <x:v>Common workflows</x:v>
      </x:c>
      <x:c r="D47" s="50" t="str">
        <x:v>https://qwenlm.github.io/qwen-code-docs/en/users/common-workflow/</x:v>
      </x:c>
      <x:c r="E47" s="22" t="str">
        <x:v>Current documentation, accessed 2026-10-06</x:v>
      </x:c>
      <x:c r="F47" s="53" t="n">
        <x:v>46301</x:v>
      </x:c>
    </x:row>
    <x:row r="48" ht="40.5" customHeight="1">
      <x:c r="A48" s="22" t="str">
        <x:v>Q2</x:v>
      </x:c>
      <x:c r="B48" s="22" t="str">
        <x:v>Alibaba / Qwen</x:v>
      </x:c>
      <x:c r="C48" s="22" t="str">
        <x:v>Goals and transcript verifier</x:v>
      </x:c>
      <x:c r="D48" s="50" t="str">
        <x:v>https://qwenlm.github.io/qwen-code-docs/en/users/features/goals/</x:v>
      </x:c>
      <x:c r="E48" s="22" t="str">
        <x:v>Current documentation, accessed 2026-10-06</x:v>
      </x:c>
      <x:c r="F48" s="53" t="n">
        <x:v>46301</x:v>
      </x:c>
    </x:row>
    <x:row r="49" ht="40.5" customHeight="1">
      <x:c r="A49" s="22" t="str">
        <x:v>Q3</x:v>
      </x:c>
      <x:c r="B49" s="22" t="str">
        <x:v>Alibaba / Qwen</x:v>
      </x:c>
      <x:c r="C49" s="22" t="str">
        <x:v>Subagents</x:v>
      </x:c>
      <x:c r="D49" s="50" t="str">
        <x:v>https://qwenlm.github.io/qwen-code-docs/en/users/features/sub-agents/</x:v>
      </x:c>
      <x:c r="E49" s="22" t="str">
        <x:v>Current documentation, accessed 2026-10-06</x:v>
      </x:c>
      <x:c r="F49" s="53" t="n">
        <x:v>46301</x:v>
      </x:c>
    </x:row>
    <x:row r="50" ht="40.5" customHeight="1">
      <x:c r="A50" s="22" t="str">
        <x:v>Q4</x:v>
      </x:c>
      <x:c r="B50" s="22" t="str">
        <x:v>Alibaba / Qwen</x:v>
      </x:c>
      <x:c r="C50" s="22" t="str">
        <x:v>Approval modes</x:v>
      </x:c>
      <x:c r="D50" s="50" t="str">
        <x:v>https://qwenlm.github.io/qwen-code-docs/en/users/features/approval-mode/</x:v>
      </x:c>
      <x:c r="E50" s="22" t="str">
        <x:v>Current documentation, accessed 2026-10-06</x:v>
      </x:c>
      <x:c r="F50" s="53" t="n">
        <x:v>46301</x:v>
      </x:c>
    </x:row>
    <x:row r="51" ht="40.5" customHeight="1">
      <x:c r="A51" s="22" t="str">
        <x:v>C1</x:v>
      </x:c>
      <x:c r="B51" s="22" t="str">
        <x:v>Tencent</x:v>
      </x:c>
      <x:c r="C51" s="22" t="str">
        <x:v>CodeBuddy Plan Mode</x:v>
      </x:c>
      <x:c r="D51" s="50" t="str">
        <x:v>https://www.codebuddy.cn/docs/ide/Features/Plan-Mode</x:v>
      </x:c>
      <x:c r="E51" s="22" t="str">
        <x:v>Current documentation, accessed 2026-10-06</x:v>
      </x:c>
      <x:c r="F51" s="53" t="n">
        <x:v>46301</x:v>
      </x:c>
    </x:row>
    <x:row r="52" ht="40.5" customHeight="1">
      <x:c r="A52" s="22" t="str">
        <x:v>C2</x:v>
      </x:c>
      <x:c r="B52" s="22" t="str">
        <x:v>Tencent</x:v>
      </x:c>
      <x:c r="C52" s="22" t="str">
        <x:v>CodeBuddy CLI practices</x:v>
      </x:c>
      <x:c r="D52" s="50" t="str">
        <x:v>https://www.codebuddy.cn/docs/cli/best-practices</x:v>
      </x:c>
      <x:c r="E52" s="22" t="str">
        <x:v>Current documentation, accessed 2026-10-06</x:v>
      </x:c>
      <x:c r="F52" s="53" t="n">
        <x:v>46301</x:v>
      </x:c>
    </x:row>
    <x:row r="53" ht="40.5" customHeight="1">
      <x:c r="A53" s="22" t="str">
        <x:v>T1</x:v>
      </x:c>
      <x:c r="B53" s="22" t="str">
        <x:v>TRAE</x:v>
      </x:c>
      <x:c r="C53" s="22" t="str">
        <x:v>Chinese Plan, Spec and Goal workflows</x:v>
      </x:c>
      <x:c r="D53" s="50" t="str">
        <x:v>https://docs.trae.cn/ide_built-in-workflows</x:v>
      </x:c>
      <x:c r="E53" s="22" t="str">
        <x:v>Current documentation, accessed 2026-10-06</x:v>
      </x:c>
      <x:c r="F53" s="53" t="n">
        <x:v>46301</x:v>
      </x:c>
    </x:row>
    <x:row r="54" ht="40.5" customHeight="1">
      <x:c r="A54" s="22" t="str">
        <x:v>T2</x:v>
      </x:c>
      <x:c r="B54" s="22" t="str">
        <x:v>TRAE</x:v>
      </x:c>
      <x:c r="C54" s="22" t="str">
        <x:v>Built-in agent</x:v>
      </x:c>
      <x:c r="D54" s="50" t="str">
        <x:v>https://docs.trae.cn/ide_built-in-agent</x:v>
      </x:c>
      <x:c r="E54" s="22" t="str">
        <x:v>Current documentation, accessed 2026-10-06</x:v>
      </x:c>
      <x:c r="F54" s="53" t="n">
        <x:v>46301</x:v>
      </x:c>
    </x:row>
    <x:row r="55" ht="40.5" customHeight="1">
      <x:c r="A55" s="22" t="str">
        <x:v>T3</x:v>
      </x:c>
      <x:c r="B55" s="22" t="str">
        <x:v>TRAE</x:v>
      </x:c>
      <x:c r="C55" s="22" t="str">
        <x:v>Skills</x:v>
      </x:c>
      <x:c r="D55" s="50" t="str">
        <x:v>https://docs.trae.cn/ide_skills</x:v>
      </x:c>
      <x:c r="E55" s="22" t="str">
        <x:v>Current documentation, accessed 2026-10-06</x:v>
      </x:c>
      <x:c r="F55" s="53" t="n">
        <x:v>46301</x:v>
      </x:c>
    </x:row>
    <x:row r="56" ht="40.5" customHeight="1">
      <x:c r="A56" s="22" t="str">
        <x:v>T4</x:v>
      </x:c>
      <x:c r="B56" s="22" t="str">
        <x:v>TRAE</x:v>
      </x:c>
      <x:c r="C56" s="22" t="str">
        <x:v>Code review</x:v>
      </x:c>
      <x:c r="D56" s="50" t="str">
        <x:v>https://docs.trae.cn/ide_agent-powered-code-review</x:v>
      </x:c>
      <x:c r="E56" s="22" t="str">
        <x:v>Current documentation, accessed 2026-10-06</x:v>
      </x:c>
      <x:c r="F56" s="53" t="n">
        <x:v>46301</x:v>
      </x:c>
    </x:row>
    <x:row r="57" ht="40.5" customHeight="1">
      <x:c r="A57" s="22" t="str">
        <x:v>M1</x:v>
      </x:c>
      <x:c r="B57" s="22" t="str">
        <x:v>MetaGPT researchers</x:v>
      </x:c>
      <x:c r="C57" s="22" t="str">
        <x:v>MetaGPT paper</x:v>
      </x:c>
      <x:c r="D57" s="50" t="str">
        <x:v>https://arxiv.org/html/2308.00352</x:v>
      </x:c>
      <x:c r="E57" s="22" t="str">
        <x:v>November 2024 paper revision; evaluated task scopes, not a whole-lifecycle qualification</x:v>
      </x:c>
      <x:c r="F57" s="53" t="n">
        <x:v>46301</x:v>
      </x:c>
    </x:row>
    <x:row r="58" ht="40.5" customHeight="1">
      <x:c r="A58" s="22" t="str">
        <x:v>M2</x:v>
      </x:c>
      <x:c r="B58" s="22" t="str">
        <x:v>FoundationAgents</x:v>
      </x:c>
      <x:c r="C58" s="22" t="str">
        <x:v>MetaGPT repository</x:v>
      </x:c>
      <x:c r="D58" s="50" t="str">
        <x:v>https://github.com/FoundationAgents/MetaGPT</x:v>
      </x:c>
      <x:c r="E58" s="22" t="str">
        <x:v>Current documentation, accessed 2026-10-06</x:v>
      </x:c>
      <x:c r="F58" s="53" t="n">
        <x:v>46301</x:v>
      </x:c>
    </x:row>
    <x:row r="59" ht="40.5" customHeight="1">
      <x:c r="A59" s="22" t="str">
        <x:v>M3</x:v>
      </x:c>
      <x:c r="B59" s="22" t="str">
        <x:v>MetaGPT</x:v>
      </x:c>
      <x:c r="C59" s="22" t="str">
        <x:v>Multi-agent tutorial</x:v>
      </x:c>
      <x:c r="D59" s="50" t="str">
        <x:v>https://docs.deepwisdom.ai/main/en/guide/tutorials/multi_agent_101.html</x:v>
      </x:c>
      <x:c r="E59" s="22" t="str">
        <x:v>Current documentation, accessed 2026-10-06</x:v>
      </x:c>
      <x:c r="F59" s="53" t="n">
        <x:v>46301</x:v>
      </x:c>
    </x:row>
    <x:row r="60" ht="40.5" customHeight="1">
      <x:c r="A60" s="22" t="str">
        <x:v>M4</x:v>
      </x:c>
      <x:c r="B60" s="22" t="str">
        <x:v>MetaGPT</x:v>
      </x:c>
      <x:c r="C60" s="22" t="str">
        <x:v>Breakpoint recovery</x:v>
      </x:c>
      <x:c r="D60" s="50" t="str">
        <x:v>https://docs.deepwisdom.ai/main/en/guide/in_depth_guides/breakpoint_recovery.html</x:v>
      </x:c>
      <x:c r="E60" s="22" t="str">
        <x:v>Current documentation, accessed 2026-10-06</x:v>
      </x:c>
      <x:c r="F60" s="53" t="n">
        <x:v>46301</x:v>
      </x:c>
    </x:row>
    <x:row r="61" ht="40.5" customHeight="1">
      <x:c r="A61" s="22" t="str">
        <x:v>D1</x:v>
      </x:c>
      <x:c r="B61" s="22" t="str">
        <x:v>OpenBMB researchers</x:v>
      </x:c>
      <x:c r="C61" s="22" t="str">
        <x:v>ChatDev 2.0 / DevAll paper</x:v>
      </x:c>
      <x:c r="D61" s="50" t="str">
        <x:v>https://arxiv.org/html/2609.00714</x:v>
      </x:c>
      <x:c r="E61" s="22" t="str">
        <x:v>September 2026 preprint; author-reported workflow metrics</x:v>
      </x:c>
      <x:c r="F61" s="53" t="n">
        <x:v>46301</x:v>
      </x:c>
    </x:row>
    <x:row r="62" ht="40.5" customHeight="1">
      <x:c r="A62" s="22" t="str">
        <x:v>D2</x:v>
      </x:c>
      <x:c r="B62" s="22" t="str">
        <x:v>OpenBMB</x:v>
      </x:c>
      <x:c r="C62" s="22" t="str">
        <x:v>DevAll release v2.2.0</x:v>
      </x:c>
      <x:c r="D62" s="50" t="str">
        <x:v>https://github.com/OpenBMB/ChatDev/releases/tag/v2.2.0</x:v>
      </x:c>
      <x:c r="E62" s="22" t="str">
        <x:v>Current documentation, accessed 2026-10-06</x:v>
      </x:c>
      <x:c r="F62" s="53" t="n">
        <x:v>46301</x:v>
      </x:c>
    </x:row>
    <x:row r="63" ht="40.5" customHeight="1">
      <x:c r="A63" s="22" t="str">
        <x:v>D3</x:v>
      </x:c>
      <x:c r="B63" s="22" t="str">
        <x:v>OpenBMB</x:v>
      </x:c>
      <x:c r="C63" s="22" t="str">
        <x:v>Workflow authoring</x:v>
      </x:c>
      <x:c r="D63" s="50" t="str">
        <x:v>https://github.com/OpenBMB/ChatDev/blob/main/docs/user_guide/en/workflow_authoring.md</x:v>
      </x:c>
      <x:c r="E63" s="22" t="str">
        <x:v>Current documentation, accessed 2026-10-06</x:v>
      </x:c>
      <x:c r="F63" s="53" t="n">
        <x:v>46301</x:v>
      </x:c>
    </x:row>
    <x:row r="64" ht="40.5" customHeight="1">
      <x:c r="A64" s="22" t="str">
        <x:v>D4</x:v>
      </x:c>
      <x:c r="B64" s="22" t="str">
        <x:v>OpenBMB</x:v>
      </x:c>
      <x:c r="C64" s="22" t="str">
        <x:v>Memory modules</x:v>
      </x:c>
      <x:c r="D64" s="50" t="str">
        <x:v>https://github.com/OpenBMB/ChatDev/blob/main/docs/user_guide/en/modules/memory.md</x:v>
      </x:c>
      <x:c r="E64" s="22" t="str">
        <x:v>Current documentation, accessed 2026-10-06</x:v>
      </x:c>
      <x:c r="F64" s="53" t="n">
        <x:v>46301</x:v>
      </x:c>
    </x:row>
    <x:row r="65" ht="40.5" customHeight="1">
      <x:c r="A65" s="22" t="str">
        <x:v>L1</x:v>
      </x:c>
      <x:c r="B65" s="22" t="str">
        <x:v>Agentless researchers</x:v>
      </x:c>
      <x:c r="C65" s="22" t="str">
        <x:v>Agentless paper</x:v>
      </x:c>
      <x:c r="D65" s="50" t="str">
        <x:v>https://arxiv.org/html/2407.01489</x:v>
      </x:c>
      <x:c r="E65" s="22" t="str">
        <x:v>October 2024 paper revision; bounded issue-repair results and costs</x:v>
      </x:c>
      <x:c r="F65" s="53" t="n">
        <x:v>46301</x:v>
      </x:c>
    </x:row>
    <x:row r="66" ht="40.5" customHeight="1">
      <x:c r="A66" s="23" t="str">
        <x:v>L2</x:v>
      </x:c>
      <x:c r="B66" s="23" t="str">
        <x:v>OpenAutoCoder</x:v>
      </x:c>
      <x:c r="C66" s="23" t="str">
        <x:v>Agentless repository</x:v>
      </x:c>
      <x:c r="D66" s="51" t="str">
        <x:v>https://github.com/OpenAutoCoder/Agentless</x:v>
      </x:c>
      <x:c r="E66" s="23" t="str">
        <x:v>Current documentation, accessed 2026-10-06</x:v>
      </x:c>
      <x:c r="F66" s="54" t="n">
        <x:v>46301</x:v>
      </x:c>
    </x:row>
  </x:sheetData>
  <x:pageMargins left="0.7" right="0.7" top="0.75" bottom="0.75" header="0.3" footer="0.3"/>
  <x:tableParts count="1">
    <x:tablePart xmlns:r="http://schemas.openxmlformats.org/officeDocument/2006/relationships" r:id="R13bd41d1230a49e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1.110000610351562" hidden="0" customWidth="1"/>
    <x:col min="2" max="2" width="28.670000076293945" hidden="0" customWidth="1"/>
    <x:col min="3" max="3" width="35.560001373291016" hidden="0" customWidth="1"/>
    <x:col min="4" max="4" width="56.33000183105469" hidden="0" customWidth="1"/>
    <x:col min="5" max="5" width="65.55999755859375" hidden="0" customWidth="1"/>
    <x:col min="6" max="6" width="73.11000061035156" hidden="0" customWidth="1"/>
  </x:cols>
  <x:sheetData>
    <x:row r="1" ht="23.25" customHeight="1">
      <x:c r="A1" s="7" t="str">
        <x:v>Standards</x:v>
      </x:c>
      <x:c r="B1" s="8"/>
      <x:c r="C1" s="8"/>
      <x:c r="D1" s="8"/>
      <x:c r="E1" s="8"/>
      <x:c r="F1" s="8"/>
    </x:row>
    <x:row r="2" ht="18" customHeight="1">
      <x:c r="A2" s="9" t="str">
        <x:v>Lifecycle standards, governance frameworks and interoperability references.</x:v>
      </x:c>
      <x:c r="B2" s="6"/>
      <x:c r="C2" s="6"/>
      <x:c r="D2" s="6"/>
      <x:c r="E2" s="6"/>
      <x:c r="F2" s="6"/>
    </x:row>
    <x:row r="3" ht="18" customHeight="1">
      <x:c r="A3" s="6" t="str">
        <x:v>These references are listed separately from the competing methods. ISO scope uses public catalogue abstracts.</x:v>
      </x:c>
      <x:c r="B3" s="6"/>
      <x:c r="C3" s="6"/>
      <x:c r="D3" s="6"/>
      <x:c r="E3" s="6"/>
      <x:c r="F3" s="6"/>
    </x:row>
    <x:row r="4" ht="16.5" customHeight="1">
      <x:c r="A4" s="3"/>
      <x:c r="B4" s="3"/>
      <x:c r="C4" s="3"/>
      <x:c r="D4" s="3"/>
      <x:c r="E4" s="3"/>
      <x:c r="F4" s="3"/>
    </x:row>
    <x:row r="5" ht="42" customHeight="1">
      <x:c r="A5" s="18" t="str">
        <x:v>Standard / reference</x:v>
      </x:c>
      <x:c r="B5" s="19" t="str">
        <x:v>Kind</x:v>
      </x:c>
      <x:c r="C5" s="19" t="str">
        <x:v>Current status</x:v>
      </x:c>
      <x:c r="D5" s="19" t="str">
        <x:v>Published scope</x:v>
      </x:c>
      <x:c r="E5" s="19" t="str">
        <x:v>Relationship to AI-driven development</x:v>
      </x:c>
      <x:c r="F5" s="20" t="str">
        <x:v>URL</x:v>
      </x:c>
    </x:row>
    <x:row r="6" ht="48" customHeight="1">
      <x:c r="A6" s="21" t="str">
        <x:v>ISO/IEC/IEEE 12207:2026</x:v>
      </x:c>
      <x:c r="B6" s="21" t="str">
        <x:v>Software lifecycle process standard</x:v>
      </x:c>
      <x:c r="C6" s="21" t="str">
        <x:v>Published April 2026; 2017 withdrawn</x:v>
      </x:c>
      <x:c r="D6" s="21" t="str">
        <x:v>Software lifecycle processes; does not prescribe a methodology.</x:v>
      </x:c>
      <x:c r="E6" s="21" t="str">
        <x:v>AI-assisted software can use the lifecycle framework.</x:v>
      </x:c>
      <x:c r="F6" s="49" t="str">
        <x:v>https://www.iso.org/standard/90219.html</x:v>
      </x:c>
    </x:row>
    <x:row r="7" ht="48" customHeight="1">
      <x:c r="A7" s="22" t="str">
        <x:v>ISO/IEC/IEEE 15288:2023</x:v>
      </x:c>
      <x:c r="B7" s="22" t="str">
        <x:v>System lifecycle process standard</x:v>
      </x:c>
      <x:c r="C7" s="22" t="str">
        <x:v>Published May 2023</x:v>
      </x:c>
      <x:c r="D7" s="22" t="str">
        <x:v>Stakeholders and system lifecycle processes.</x:v>
      </x:c>
      <x:c r="E7" s="22" t="str">
        <x:v>Broader systems reference; not an agent execution method.</x:v>
      </x:c>
      <x:c r="F7" s="50" t="str">
        <x:v>https://www.iso.org/standard/81702.html</x:v>
      </x:c>
    </x:row>
    <x:row r="8" ht="48" customHeight="1">
      <x:c r="A8" s="22" t="str">
        <x:v>ISO/IEC 5338:2023</x:v>
      </x:c>
      <x:c r="B8" s="22" t="str">
        <x:v>AI system lifecycle standard</x:v>
      </x:c>
      <x:c r="C8" s="22" t="str">
        <x:v>Published December 2023</x:v>
      </x:c>
      <x:c r="D8" s="22" t="str">
        <x:v>AI-system lifecycle definition, control, management, execution and improvement; usable in development/acquisition.</x:v>
      </x:c>
      <x:c r="E8" s="22" t="str">
        <x:v>Building AI systems differs from using agents to build arbitrary products.</x:v>
      </x:c>
      <x:c r="F8" s="50" t="str">
        <x:v>https://www.iso.org/standard/81118.html</x:v>
      </x:c>
    </x:row>
    <x:row r="9" ht="48" customHeight="1">
      <x:c r="A9" s="22" t="str">
        <x:v>ISO/IEC 42001:2023</x:v>
      </x:c>
      <x:c r="B9" s="22" t="str">
        <x:v>AI management system requirements</x:v>
      </x:c>
      <x:c r="C9" s="22" t="str">
        <x:v>Published December 2023</x:v>
      </x:c>
      <x:c r="D9" s="22" t="str">
        <x:v>Organisational governance of developing, providing or using AI.</x:v>
      </x:c>
      <x:c r="E9" s="22" t="str">
        <x:v>Applies to AI use governance; not specification-to-code instructions.</x:v>
      </x:c>
      <x:c r="F9" s="50" t="str">
        <x:v>https://www.iso.org/standard/42001</x:v>
      </x:c>
    </x:row>
    <x:row r="10" ht="48" customHeight="1">
      <x:c r="A10" s="22" t="str">
        <x:v>NIST AI RMF 1.0 / AI 100-1</x:v>
      </x:c>
      <x:c r="B10" s="22" t="str">
        <x:v>Voluntary risk framework</x:v>
      </x:c>
      <x:c r="C10" s="22" t="str">
        <x:v>January 2023; revision underway</x:v>
      </x:c>
      <x:c r="D10" s="22" t="str">
        <x:v>Govern, Map, Measure and Manage AI risks.</x:v>
      </x:c>
      <x:c r="E10" s="22" t="str">
        <x:v>Governance overlay for building and using AI.</x:v>
      </x:c>
      <x:c r="F10" s="50" t="str">
        <x:v>https://www.nist.gov/itl/ai-risk-management-framework</x:v>
      </x:c>
    </x:row>
    <x:row r="11" ht="48" customHeight="1">
      <x:c r="A11" s="22" t="str">
        <x:v>NIST AI 600-1</x:v>
      </x:c>
      <x:c r="B11" s="22" t="str">
        <x:v>Generative AI risk profile</x:v>
      </x:c>
      <x:c r="C11" s="22" t="str">
        <x:v>July 2024</x:v>
      </x:c>
      <x:c r="D11" s="22" t="str">
        <x:v>Generative-AI profile of AI RMF.</x:v>
      </x:c>
      <x:c r="E11" s="22" t="str">
        <x:v>Risk overlay, not a complete development methodology.</x:v>
      </x:c>
      <x:c r="F11" s="50" t="str">
        <x:v>https://www.nist.gov/publications/artificial-intelligence-risk-management-framework-generative-artificial-intelligence</x:v>
      </x:c>
    </x:row>
    <x:row r="12" ht="48" customHeight="1">
      <x:c r="A12" s="22" t="str">
        <x:v>NIST SSDF v1.1 / SP 800-218</x:v>
      </x:c>
      <x:c r="B12" s="22" t="str">
        <x:v>Secure software process framework</x:v>
      </x:c>
      <x:c r="C12" s="22" t="str">
        <x:v>Final February 2022</x:v>
      </x:c>
      <x:c r="D12" s="22" t="str">
        <x:v>Secure development practices integrated into an SDLC.</x:v>
      </x:c>
      <x:c r="E12" s="22" t="str">
        <x:v>Current final assurance reference for AI-produced software.</x:v>
      </x:c>
      <x:c r="F12" s="50" t="str">
        <x:v>https://csrc.nist.gov/pubs/sp/800/218/final</x:v>
      </x:c>
    </x:row>
    <x:row r="13" ht="48" customHeight="1">
      <x:c r="A13" s="22" t="str">
        <x:v>NIST SSDF v1.2 / SP 800-218 Rev. 1</x:v>
      </x:c>
      <x:c r="B13" s="22" t="str">
        <x:v>Secure software process draft</x:v>
      </x:c>
      <x:c r="C13" s="22" t="str">
        <x:v>Initial public draft December 2025</x:v>
      </x:c>
      <x:c r="D13" s="22" t="str">
        <x:v>Proposed revision of secure software development practices.</x:v>
      </x:c>
      <x:c r="E13" s="22" t="str">
        <x:v>Evolving draft; do not treat as the final published framework.</x:v>
      </x:c>
      <x:c r="F13" s="50" t="str">
        <x:v>https://csrc.nist.gov/pubs/sp/800/218/r1/ipd</x:v>
      </x:c>
    </x:row>
    <x:row r="14" ht="48" customHeight="1">
      <x:c r="A14" s="22" t="str">
        <x:v>NIST SP 800-218A</x:v>
      </x:c>
      <x:c r="B14" s="22" t="str">
        <x:v>AI development SSDF profile</x:v>
      </x:c>
      <x:c r="C14" s="22" t="str">
        <x:v>Final July 2024</x:v>
      </x:c>
      <x:c r="D14" s="22" t="str">
        <x:v>AI model/system producers and acquirers.</x:v>
      </x:c>
      <x:c r="E14" s="22" t="str">
        <x:v>Primarily building/acquiring AI, not generic AI-assisted construction.</x:v>
      </x:c>
      <x:c r="F14" s="50" t="str">
        <x:v>https://csrc.nist.gov/pubs/sp/800/218/a/final</x:v>
      </x:c>
    </x:row>
    <x:row r="15" ht="48" customHeight="1">
      <x:c r="A15" s="22" t="str">
        <x:v>MCP 2026-07-28</x:v>
      </x:c>
      <x:c r="B15" s="22" t="str">
        <x:v>Tool/data interoperability protocol</x:v>
      </x:c>
      <x:c r="C15" s="22" t="str">
        <x:v>Released July 2026</x:v>
      </x:c>
      <x:c r="D15" s="22" t="str">
        <x:v>Stateless protocol core, schemas and optional extensions.</x:v>
      </x:c>
      <x:c r="E15" s="22" t="str">
        <x:v>A potential adapter; does not define product acceptance.</x:v>
      </x:c>
      <x:c r="F15" s="50" t="str">
        <x:v>https://modelcontextprotocol.io/specification/2026-07-28</x:v>
      </x:c>
    </x:row>
    <x:row r="16" ht="48" customHeight="1">
      <x:c r="A16" s="22" t="str">
        <x:v>A2A v1.0.1</x:v>
      </x:c>
      <x:c r="B16" s="22" t="str">
        <x:v>Agent interoperability protocol</x:v>
      </x:c>
      <x:c r="C16" s="22" t="str">
        <x:v>Current stable; May 2026 release</x:v>
      </x:c>
      <x:c r="D16" s="22" t="str">
        <x:v>Discovery, delegation, task states, messages and artifacts.</x:v>
      </x:c>
      <x:c r="E16" s="22" t="str">
        <x:v>Task completion is not independent product qualification.</x:v>
      </x:c>
      <x:c r="F16" s="50" t="str">
        <x:v>https://a2a-protocol.org/v1.0.1/specification/</x:v>
      </x:c>
    </x:row>
    <x:row r="17" ht="48" customHeight="1">
      <x:c r="A17" s="22" t="str">
        <x:v>AGENTS.md</x:v>
      </x:c>
      <x:c r="B17" s="22" t="str">
        <x:v>Open repository instruction convention</x:v>
      </x:c>
      <x:c r="C17" s="22" t="str">
        <x:v>Current open convention; no mandatory fields</x:v>
      </x:c>
      <x:c r="D17" s="22" t="str">
        <x:v>Repository and scoped instructions for coding agents.</x:v>
      </x:c>
      <x:c r="E17" s="22" t="str">
        <x:v>Attention/distribution surface, not a typed lifecycle methodology.</x:v>
      </x:c>
      <x:c r="F17" s="50" t="str">
        <x:v>https://agents.md/</x:v>
      </x:c>
    </x:row>
    <x:row r="18" ht="48" customHeight="1">
      <x:c r="A18" s="22" t="str">
        <x:v>NIST AI Agent Standards Initiative</x:v>
      </x:c>
      <x:c r="B18" s="22" t="str">
        <x:v>Standards programme</x:v>
      </x:c>
      <x:c r="C18" s="22" t="str">
        <x:v>Launched February 2026</x:v>
      </x:c>
      <x:c r="D18" s="22" t="str">
        <x:v>Protocols, identity/authentication and evaluation research.</x:v>
      </x:c>
      <x:c r="E18" s="22" t="str">
        <x:v>Evolving initiative, not a completed universal methodology.</x:v>
      </x:c>
      <x:c r="F18" s="50" t="str">
        <x:v>https://www.nist.gov/artificial-intelligence/ai-agent-standards-initiative</x:v>
      </x:c>
    </x:row>
    <x:row r="19" ht="48" customHeight="1">
      <x:c r="A19" s="23" t="str">
        <x:v>AAIF</x:v>
      </x:c>
      <x:c r="B19" s="23" t="str">
        <x:v>Open-source standards governance foundation</x:v>
      </x:c>
      <x:c r="C19" s="23" t="str">
        <x:v>A2A joined August 2026</x:v>
      </x:c>
      <x:c r="D19" s="23" t="str">
        <x:v>Hosts distinct agent instructions, runtimes and interoperability projects.</x:v>
      </x:c>
      <x:c r="E19" s="23" t="str">
        <x:v>Governance home; no single consolidated development method.</x:v>
      </x:c>
      <x:c r="F19" s="51" t="str">
        <x:v>https://aaif.io/blog/a2a-joins-aaif</x:v>
      </x:c>
    </x:row>
  </x:sheetData>
  <x:pageMargins left="0.7" right="0.7" top="0.75" bottom="0.75" header="0.3" footer="0.3"/>
  <x:tableParts count="1">
    <x:tablePart xmlns:r="http://schemas.openxmlformats.org/officeDocument/2006/relationships" r:id="R4366e4b41f944d90"/>
  </x:tableParts>
</x:worksheet>
</file>